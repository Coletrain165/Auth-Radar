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nesourcecorp-my.sharepoint.com/personal/elys_cadena_solvoglobal_com/Documents/Documents/Weekending/"/>
    </mc:Choice>
  </mc:AlternateContent>
  <xr:revisionPtr revIDLastSave="99" documentId="8_{5614B0B5-17F2-4674-871C-8DB80B02B9F2}" xr6:coauthVersionLast="47" xr6:coauthVersionMax="47" xr10:uidLastSave="{6057B30F-C4A1-429A-8E8F-8D5F18BEF0CF}"/>
  <bookViews>
    <workbookView xWindow="-110" yWindow="-110" windowWidth="19420" windowHeight="10300" firstSheet="2" activeTab="3" xr2:uid="{00000000-000D-0000-FFFF-FFFF00000000}"/>
  </bookViews>
  <sheets>
    <sheet name="UNSKILLED" sheetId="1" r:id="rId1"/>
    <sheet name="SKILLED" sheetId="2" r:id="rId2"/>
    <sheet name="Discharged PPT" sheetId="3" r:id="rId3"/>
    <sheet name="EXPIRATION DATES" sheetId="7" r:id="rId4"/>
    <sheet name="Sheet3" sheetId="14" state="hidden" r:id="rId5"/>
    <sheet name="Holidays" sheetId="9" r:id="rId6"/>
    <sheet name="FHC Active Employees" sheetId="13" r:id="rId7"/>
    <sheet name="Sheet10" sheetId="24" state="hidden" r:id="rId8"/>
    <sheet name="Employees" sheetId="10" state="hidden" r:id="rId9"/>
    <sheet name="Sheet1" sheetId="11" state="hidden" r:id="rId10"/>
    <sheet name="Sheet2" sheetId="12" state="hidden" r:id="rId11"/>
    <sheet name="Sheet4" sheetId="15" state="hidden" r:id="rId12"/>
    <sheet name="Sheet5" sheetId="16" state="hidden" r:id="rId13"/>
    <sheet name="Sheet6" sheetId="20" state="hidden" r:id="rId14"/>
    <sheet name="Sheet8" sheetId="21" state="hidden" r:id="rId15"/>
    <sheet name="Sheet9" sheetId="22" state="hidden" r:id="rId16"/>
  </sheets>
  <definedNames>
    <definedName name="_xlnm._FilterDatabase" localSheetId="3" hidden="1">'EXPIRATION DATES'!$I$1:$L$1</definedName>
    <definedName name="_xlnm._FilterDatabase" localSheetId="6" hidden="1">'FHC Active Employees'!$A$1:$D$45</definedName>
    <definedName name="_xlnm._FilterDatabase" localSheetId="1" hidden="1">SKILLED!$A$1:$O$1</definedName>
    <definedName name="_xlnm._FilterDatabase" localSheetId="0" hidden="1">UNSKILLED!$A$2:$AR$125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3" i="7" l="1"/>
  <c r="C23" i="7"/>
  <c r="J72" i="7"/>
  <c r="K72" i="7"/>
  <c r="J81" i="7"/>
  <c r="K81" i="7"/>
  <c r="B95" i="7" l="1"/>
  <c r="C95" i="7"/>
  <c r="K82" i="7"/>
  <c r="J82" i="7"/>
  <c r="K28" i="7"/>
  <c r="J28" i="7"/>
  <c r="K80" i="7"/>
  <c r="J80" i="7"/>
  <c r="K79" i="7"/>
  <c r="J79" i="7"/>
  <c r="K74" i="7"/>
  <c r="J74" i="7"/>
  <c r="K73" i="7"/>
  <c r="J73" i="7"/>
  <c r="K71" i="7"/>
  <c r="J71" i="7"/>
  <c r="K70" i="7"/>
  <c r="J70" i="7"/>
  <c r="K69" i="7"/>
  <c r="J69" i="7"/>
  <c r="K68" i="7"/>
  <c r="J68" i="7"/>
  <c r="K65" i="7"/>
  <c r="J65" i="7"/>
  <c r="K64" i="7"/>
  <c r="J64" i="7"/>
  <c r="K61" i="7"/>
  <c r="J61" i="7"/>
  <c r="K60" i="7"/>
  <c r="J60" i="7"/>
  <c r="K59" i="7"/>
  <c r="J59" i="7"/>
  <c r="K58" i="7"/>
  <c r="J58" i="7"/>
  <c r="K55" i="7"/>
  <c r="J55" i="7"/>
  <c r="K54" i="7"/>
  <c r="J54" i="7"/>
  <c r="K53" i="7"/>
  <c r="J53" i="7"/>
  <c r="K52" i="7"/>
  <c r="J52" i="7"/>
  <c r="K51" i="7"/>
  <c r="J51" i="7"/>
  <c r="K50" i="7"/>
  <c r="J50" i="7"/>
  <c r="K49" i="7"/>
  <c r="J49" i="7"/>
  <c r="K46" i="7"/>
  <c r="J46" i="7"/>
  <c r="K44" i="7"/>
  <c r="J44" i="7"/>
  <c r="K43" i="7"/>
  <c r="J43" i="7"/>
  <c r="K42" i="7"/>
  <c r="J42" i="7"/>
  <c r="K41" i="7"/>
  <c r="J41" i="7"/>
  <c r="K40" i="7"/>
  <c r="J40" i="7"/>
  <c r="K39" i="7"/>
  <c r="J39" i="7"/>
  <c r="K38" i="7"/>
  <c r="J38" i="7"/>
  <c r="K37" i="7"/>
  <c r="J37" i="7"/>
  <c r="K36" i="7"/>
  <c r="J36" i="7"/>
  <c r="K35" i="7"/>
  <c r="J35" i="7"/>
  <c r="K34" i="7"/>
  <c r="J34" i="7"/>
  <c r="K33" i="7"/>
  <c r="J33" i="7"/>
  <c r="K32" i="7"/>
  <c r="J32" i="7"/>
  <c r="K31" i="7"/>
  <c r="J31" i="7"/>
  <c r="K29" i="7"/>
  <c r="J29" i="7"/>
  <c r="K27" i="7"/>
  <c r="J27" i="7"/>
  <c r="K25" i="7"/>
  <c r="J25" i="7"/>
  <c r="K24" i="7"/>
  <c r="J24" i="7"/>
  <c r="K23" i="7"/>
  <c r="J23" i="7"/>
  <c r="K22" i="7"/>
  <c r="J22" i="7"/>
  <c r="K47" i="7"/>
  <c r="J47" i="7"/>
  <c r="K21" i="7"/>
  <c r="J21" i="7"/>
  <c r="K20" i="7"/>
  <c r="J20" i="7"/>
  <c r="K19" i="7"/>
  <c r="J19" i="7"/>
  <c r="K18" i="7"/>
  <c r="J18" i="7"/>
  <c r="K17" i="7"/>
  <c r="J17" i="7"/>
  <c r="K16" i="7"/>
  <c r="J16" i="7"/>
  <c r="K15" i="7"/>
  <c r="J15" i="7"/>
  <c r="K14" i="7"/>
  <c r="J14" i="7"/>
  <c r="K48" i="7"/>
  <c r="J48" i="7"/>
  <c r="K12" i="7"/>
  <c r="J12" i="7"/>
  <c r="K11" i="7"/>
  <c r="J11" i="7"/>
  <c r="K13" i="7"/>
  <c r="J13" i="7"/>
  <c r="K57" i="7"/>
  <c r="J57" i="7"/>
  <c r="K67" i="7"/>
  <c r="J67" i="7"/>
  <c r="K77" i="7"/>
  <c r="J77" i="7"/>
  <c r="K30" i="7"/>
  <c r="J30" i="7"/>
  <c r="K9" i="7"/>
  <c r="J9" i="7"/>
  <c r="K63" i="7"/>
  <c r="J63" i="7"/>
  <c r="K8" i="7"/>
  <c r="J8" i="7"/>
  <c r="K75" i="7"/>
  <c r="J75" i="7"/>
  <c r="B94" i="7"/>
  <c r="C94" i="7"/>
  <c r="B90" i="7"/>
  <c r="C90" i="7"/>
  <c r="B59" i="7"/>
  <c r="C59" i="7"/>
  <c r="B27" i="7"/>
  <c r="C27" i="7"/>
  <c r="B9" i="7" l="1"/>
  <c r="C9" i="7"/>
  <c r="B40" i="7"/>
  <c r="C40" i="7"/>
  <c r="C6" i="7" l="1"/>
  <c r="B6" i="7"/>
  <c r="C65" i="7"/>
  <c r="B65" i="7"/>
  <c r="C5" i="7"/>
  <c r="B5" i="7"/>
  <c r="C4" i="7"/>
  <c r="B4" i="7"/>
  <c r="J4" i="7"/>
  <c r="K4" i="7"/>
  <c r="J56" i="7" l="1"/>
  <c r="K56" i="7"/>
  <c r="J62" i="7"/>
  <c r="K62" i="7"/>
  <c r="B61" i="7"/>
  <c r="C61" i="7"/>
  <c r="B43" i="7"/>
  <c r="C43" i="7"/>
  <c r="B58" i="7" l="1"/>
  <c r="C58" i="7"/>
  <c r="B48" i="7"/>
  <c r="C48" i="7"/>
  <c r="B42" i="7"/>
  <c r="C42" i="7"/>
  <c r="B88" i="7"/>
  <c r="C88" i="7"/>
  <c r="B89" i="7" l="1"/>
  <c r="C89" i="7"/>
  <c r="J5" i="7" l="1"/>
  <c r="K5" i="7"/>
  <c r="B67" i="7"/>
  <c r="C67" i="7"/>
  <c r="J66" i="7"/>
  <c r="K66" i="7"/>
  <c r="B97" i="7"/>
  <c r="C97" i="7"/>
  <c r="B49" i="7" l="1"/>
  <c r="C49" i="7"/>
  <c r="J78" i="7"/>
  <c r="K78" i="7"/>
  <c r="J10" i="7"/>
  <c r="K10" i="7"/>
  <c r="B84" i="7"/>
  <c r="C84" i="7"/>
  <c r="B46" i="7" l="1"/>
  <c r="C46" i="7"/>
  <c r="B8" i="7"/>
  <c r="C8" i="7"/>
  <c r="J6" i="7"/>
  <c r="K6" i="7"/>
  <c r="K45" i="7"/>
  <c r="J45" i="7"/>
  <c r="K76" i="7"/>
  <c r="J76" i="7"/>
  <c r="K3" i="7"/>
  <c r="J3" i="7"/>
  <c r="K7" i="7"/>
  <c r="J7" i="7"/>
  <c r="K2" i="7"/>
  <c r="J2" i="7"/>
  <c r="B56" i="7"/>
  <c r="C56" i="7"/>
  <c r="B74" i="7" l="1"/>
  <c r="C74" i="7"/>
  <c r="B93" i="7" l="1"/>
  <c r="C93" i="7"/>
  <c r="B44" i="7"/>
  <c r="C44" i="7"/>
  <c r="B26" i="7" l="1"/>
  <c r="C26" i="7"/>
  <c r="C87" i="7" l="1"/>
  <c r="B87" i="7"/>
  <c r="C86" i="7"/>
  <c r="B86" i="7"/>
  <c r="C85" i="7"/>
  <c r="B85" i="7"/>
  <c r="C24" i="7"/>
  <c r="B24" i="7"/>
  <c r="C28" i="7"/>
  <c r="B28" i="7"/>
  <c r="C52" i="7"/>
  <c r="B52" i="7"/>
  <c r="C51" i="7"/>
  <c r="B51" i="7"/>
  <c r="C70" i="7"/>
  <c r="B70" i="7"/>
  <c r="C2" i="7"/>
  <c r="B2" i="7"/>
  <c r="B96" i="7"/>
  <c r="C96" i="7"/>
  <c r="B81" i="7"/>
  <c r="C81" i="7"/>
  <c r="C15" i="7" l="1"/>
  <c r="B15" i="7"/>
  <c r="C69" i="7"/>
  <c r="B69" i="7"/>
  <c r="C72" i="7"/>
  <c r="B72" i="7"/>
  <c r="C39" i="7"/>
  <c r="B39" i="7"/>
  <c r="C73" i="7"/>
  <c r="B73" i="7"/>
  <c r="C77" i="7"/>
  <c r="B77" i="7"/>
  <c r="C76" i="7"/>
  <c r="B76" i="7"/>
  <c r="C83" i="7"/>
  <c r="B83" i="7"/>
  <c r="C11" i="7"/>
  <c r="B11" i="7"/>
  <c r="C41" i="7"/>
  <c r="B41" i="7"/>
  <c r="C47" i="7"/>
  <c r="B47" i="7"/>
  <c r="C10" i="7"/>
  <c r="B10" i="7"/>
  <c r="C91" i="7"/>
  <c r="B91" i="7"/>
  <c r="C7" i="7"/>
  <c r="B7" i="7"/>
  <c r="C53" i="7"/>
  <c r="B53" i="7"/>
  <c r="C32" i="7"/>
  <c r="B32" i="7"/>
  <c r="C31" i="7"/>
  <c r="B31" i="7"/>
  <c r="C45" i="7"/>
  <c r="B45" i="7"/>
  <c r="C78" i="7"/>
  <c r="B78" i="7"/>
  <c r="C38" i="7"/>
  <c r="B38" i="7"/>
  <c r="C34" i="7"/>
  <c r="B34" i="7"/>
  <c r="C33" i="7"/>
  <c r="B33" i="7"/>
  <c r="C99" i="7"/>
  <c r="B99" i="7"/>
  <c r="C25" i="7"/>
  <c r="B25" i="7"/>
  <c r="C82" i="7"/>
  <c r="B82" i="7"/>
  <c r="C19" i="7"/>
  <c r="B19" i="7"/>
  <c r="C30" i="7"/>
  <c r="B30" i="7"/>
  <c r="C35" i="7"/>
  <c r="B35" i="7"/>
  <c r="C18" i="7"/>
  <c r="B18" i="7"/>
  <c r="C17" i="7"/>
  <c r="B17" i="7"/>
  <c r="C54" i="7"/>
  <c r="B54" i="7"/>
  <c r="C21" i="7"/>
  <c r="B21" i="7"/>
  <c r="C16" i="7"/>
  <c r="B16" i="7"/>
  <c r="C60" i="7"/>
  <c r="B60" i="7"/>
  <c r="C13" i="7"/>
  <c r="B13" i="7"/>
  <c r="C98" i="7"/>
  <c r="B98" i="7"/>
  <c r="C57" i="7"/>
  <c r="B57" i="7"/>
  <c r="C50" i="7"/>
  <c r="B50" i="7"/>
  <c r="C3" i="7"/>
  <c r="B3" i="7"/>
  <c r="C12" i="7"/>
  <c r="B12" i="7"/>
  <c r="C66" i="7"/>
  <c r="B66" i="7"/>
  <c r="C20" i="7"/>
  <c r="B20" i="7"/>
  <c r="C68" i="7"/>
  <c r="B68" i="7"/>
  <c r="C92" i="7"/>
  <c r="B92" i="7"/>
  <c r="C55" i="7"/>
  <c r="B55" i="7"/>
  <c r="C37" i="7"/>
  <c r="B37" i="7"/>
  <c r="C63" i="7"/>
  <c r="B63" i="7"/>
  <c r="C14" i="7"/>
  <c r="B14" i="7"/>
  <c r="C36" i="7"/>
  <c r="B36" i="7"/>
  <c r="C22" i="7"/>
  <c r="B22" i="7"/>
  <c r="C75" i="7"/>
  <c r="B75" i="7"/>
  <c r="C64" i="7"/>
  <c r="B64" i="7"/>
  <c r="C100" i="7"/>
  <c r="B100" i="7"/>
  <c r="C29" i="7"/>
  <c r="B29" i="7"/>
  <c r="C62" i="7"/>
  <c r="B62" i="7"/>
  <c r="C79" i="7"/>
  <c r="B79" i="7"/>
  <c r="C71" i="7"/>
  <c r="B71" i="7"/>
  <c r="C80" i="7"/>
  <c r="B80" i="7"/>
  <c r="K26" i="7"/>
  <c r="J26" i="7"/>
</calcChain>
</file>

<file path=xl/sharedStrings.xml><?xml version="1.0" encoding="utf-8"?>
<sst xmlns="http://schemas.openxmlformats.org/spreadsheetml/2006/main" count="3307" uniqueCount="1130">
  <si>
    <t>HOME CARE/UNSKILLED       Participant's First and Last Name</t>
  </si>
  <si>
    <t>Participant's ID</t>
  </si>
  <si>
    <t>Participant's Authorization Number</t>
  </si>
  <si>
    <t>BrightStar Employee</t>
  </si>
  <si>
    <t>Frequency</t>
  </si>
  <si>
    <t>No.  of          hours per visit</t>
  </si>
  <si>
    <t>Day(s) Scheduled</t>
  </si>
  <si>
    <t>Scheduled Service Time</t>
  </si>
  <si>
    <t>Date      Approved</t>
  </si>
  <si>
    <t>Date Authorization Expires</t>
  </si>
  <si>
    <t>Remarks</t>
  </si>
  <si>
    <t>Case Manager</t>
  </si>
  <si>
    <t>Contact No. (619) 515-2445 extension</t>
  </si>
  <si>
    <t>Email</t>
  </si>
  <si>
    <t>Alcaraz, A.</t>
  </si>
  <si>
    <t>Trina H.</t>
  </si>
  <si>
    <t>Mon-Sun</t>
  </si>
  <si>
    <t>9:00 am - 11:00 am</t>
  </si>
  <si>
    <t>Tia</t>
  </si>
  <si>
    <t>(760) 826-7223 EXT 8072</t>
  </si>
  <si>
    <t>lindah@fhcsd.org</t>
  </si>
  <si>
    <t>Allen, W.</t>
  </si>
  <si>
    <t>Perla C.</t>
  </si>
  <si>
    <t>5xweek</t>
  </si>
  <si>
    <t>Mon-Fri</t>
  </si>
  <si>
    <t>Mercy</t>
  </si>
  <si>
    <t>mercyc@fhcsd.org</t>
  </si>
  <si>
    <t>Alvarez, F.</t>
  </si>
  <si>
    <t>1x Week</t>
  </si>
  <si>
    <t>Tues</t>
  </si>
  <si>
    <t>1:00 pm - 3:00 pm</t>
  </si>
  <si>
    <t>Galia</t>
  </si>
  <si>
    <t>galias@fhcsd.org</t>
  </si>
  <si>
    <t>Alvarez, J.</t>
  </si>
  <si>
    <t>Tue</t>
  </si>
  <si>
    <t>Arnita, I.</t>
  </si>
  <si>
    <t>Vincent S.</t>
  </si>
  <si>
    <t>1xWeek</t>
  </si>
  <si>
    <t>7xWeek</t>
  </si>
  <si>
    <t>Roya T.</t>
  </si>
  <si>
    <t>3xweek</t>
  </si>
  <si>
    <t>Bass, R.</t>
  </si>
  <si>
    <t>Andres G.</t>
  </si>
  <si>
    <t>7xweek</t>
  </si>
  <si>
    <t>Lory</t>
  </si>
  <si>
    <t>lorys@fhcsd.org</t>
  </si>
  <si>
    <t>Brae, A.</t>
  </si>
  <si>
    <t>11:00am-1:00 pm</t>
  </si>
  <si>
    <t>1xweek</t>
  </si>
  <si>
    <t>12:00pm-2:00 pm</t>
  </si>
  <si>
    <t>Calderon, E.</t>
  </si>
  <si>
    <t>Mirtha S.</t>
  </si>
  <si>
    <t>2xWeek</t>
  </si>
  <si>
    <t>8:00 am - 10:00 am</t>
  </si>
  <si>
    <t>10:00 am - 12:00 pm</t>
  </si>
  <si>
    <t>Contreras-Padilla, S.</t>
  </si>
  <si>
    <t>Escort assistance only</t>
  </si>
  <si>
    <t>Figueroa Garcia, R.</t>
  </si>
  <si>
    <t>Hadassa Y.</t>
  </si>
  <si>
    <t>8:00 am - 12:00 pm</t>
  </si>
  <si>
    <t>Fountain, D.</t>
  </si>
  <si>
    <t>Gallaher, N.</t>
  </si>
  <si>
    <t>Gashimov, K.</t>
  </si>
  <si>
    <t>Susan R.</t>
  </si>
  <si>
    <t>Guerrero, R.</t>
  </si>
  <si>
    <t>Maribel</t>
  </si>
  <si>
    <t>maribele@fhcsd.org</t>
  </si>
  <si>
    <t>3xWeek</t>
  </si>
  <si>
    <t>4:00 pm- 6:00 pm</t>
  </si>
  <si>
    <t>Hanegan, C.</t>
  </si>
  <si>
    <t>Eknoor A.</t>
  </si>
  <si>
    <t>MWF</t>
  </si>
  <si>
    <t>Hernandez, J.</t>
  </si>
  <si>
    <t>Hieshetter, E.</t>
  </si>
  <si>
    <t>2xweek</t>
  </si>
  <si>
    <t>Sat &amp; Sun</t>
  </si>
  <si>
    <t>11:00 am - 1:00 pm</t>
  </si>
  <si>
    <t>Holidays only</t>
  </si>
  <si>
    <t>Huynh, J.</t>
  </si>
  <si>
    <t>Jing, Z.</t>
  </si>
  <si>
    <t>3:00 pm - 5:00 pm</t>
  </si>
  <si>
    <t>Lewis, R.</t>
  </si>
  <si>
    <t>Friday</t>
  </si>
  <si>
    <t>12:00 pm-2:00 pm</t>
  </si>
  <si>
    <t>Lopez Carreno, S.</t>
  </si>
  <si>
    <t>Martinez, J.</t>
  </si>
  <si>
    <t>Hospitalized/SNF</t>
  </si>
  <si>
    <t>Neve, S.</t>
  </si>
  <si>
    <t>Orea, T.</t>
  </si>
  <si>
    <t>Quiroz Cortez, D.</t>
  </si>
  <si>
    <t>4xweek</t>
  </si>
  <si>
    <t>Labor Day</t>
  </si>
  <si>
    <t>Th</t>
  </si>
  <si>
    <t>Thanksgiving Day</t>
  </si>
  <si>
    <t>A day after thanksgiving</t>
  </si>
  <si>
    <t>Sat</t>
  </si>
  <si>
    <t>Christmas Day</t>
  </si>
  <si>
    <t>New Year's Day</t>
  </si>
  <si>
    <t>Sun</t>
  </si>
  <si>
    <t>Memorial Day</t>
  </si>
  <si>
    <t>8:00pm-10:00pm</t>
  </si>
  <si>
    <t>Sanchez Y Lara, M.</t>
  </si>
  <si>
    <t>12:00 pm - 2:00 pm</t>
  </si>
  <si>
    <t>Sandoval, L.</t>
  </si>
  <si>
    <t>Simpson, W.</t>
  </si>
  <si>
    <t>Sat, Sun, &amp; Holidays</t>
  </si>
  <si>
    <t>7:00 am-9:00 am</t>
  </si>
  <si>
    <t>Thomas, L.</t>
  </si>
  <si>
    <t>Verdugo, D.</t>
  </si>
  <si>
    <t xml:space="preserve"> 2xWeek</t>
  </si>
  <si>
    <t>Sat, Sun, Holidays</t>
  </si>
  <si>
    <t>7:00 pm - 9:00 pm</t>
  </si>
  <si>
    <t>Willis, J.</t>
  </si>
  <si>
    <t>HOME HEALTH/SKILLED     Participant's First and Last Name</t>
  </si>
  <si>
    <t>No. of hours per visit</t>
  </si>
  <si>
    <t>Date Approved</t>
  </si>
  <si>
    <t>REMARKS</t>
  </si>
  <si>
    <t>Case Managers</t>
  </si>
  <si>
    <t>Alonzo, D.</t>
  </si>
  <si>
    <t>Mary B.</t>
  </si>
  <si>
    <t>Mon</t>
  </si>
  <si>
    <t>10am-12pm</t>
  </si>
  <si>
    <t>Araujo, D.</t>
  </si>
  <si>
    <t>Malcolm L.</t>
  </si>
  <si>
    <t>Tue &amp; Thurs</t>
  </si>
  <si>
    <t>8am-10am</t>
  </si>
  <si>
    <t>Eric E.</t>
  </si>
  <si>
    <t>Arnold, M.</t>
  </si>
  <si>
    <t>Joshua H.</t>
  </si>
  <si>
    <t>7pm-9pm</t>
  </si>
  <si>
    <t>Tasha C.</t>
  </si>
  <si>
    <t>Lakeisha G.</t>
  </si>
  <si>
    <t>Bahena, J.</t>
  </si>
  <si>
    <t>Michelle S.</t>
  </si>
  <si>
    <t>12pm-2pm</t>
  </si>
  <si>
    <t>Barajas Barragan, A.</t>
  </si>
  <si>
    <t>Luis M.</t>
  </si>
  <si>
    <t>Wed</t>
  </si>
  <si>
    <t>3p-5p</t>
  </si>
  <si>
    <t>Don M.</t>
  </si>
  <si>
    <t>Thurs</t>
  </si>
  <si>
    <t>Priscilla C.</t>
  </si>
  <si>
    <t>Mon - Wed</t>
  </si>
  <si>
    <t>Byron B.</t>
  </si>
  <si>
    <t xml:space="preserve">Brae, A. </t>
  </si>
  <si>
    <t>Amanda M.</t>
  </si>
  <si>
    <t>9:30a-11:30a</t>
  </si>
  <si>
    <t>7am-9am</t>
  </si>
  <si>
    <t>Calderon, G.</t>
  </si>
  <si>
    <t>Monday</t>
  </si>
  <si>
    <t>5pm-7pm</t>
  </si>
  <si>
    <t>(760) 826-7223 EXT 8073</t>
  </si>
  <si>
    <t>Clark, D.</t>
  </si>
  <si>
    <t>Corrales, G.</t>
  </si>
  <si>
    <t>Cory, L.</t>
  </si>
  <si>
    <t>June M.</t>
  </si>
  <si>
    <t>1pm-3pm</t>
  </si>
  <si>
    <t>Cross, W.</t>
  </si>
  <si>
    <t>11a-1p</t>
  </si>
  <si>
    <t>Akilah H.</t>
  </si>
  <si>
    <t>5xWeek</t>
  </si>
  <si>
    <t>De Leon, M.</t>
  </si>
  <si>
    <t>9am-11am</t>
  </si>
  <si>
    <t>Doan, M.</t>
  </si>
  <si>
    <t>Noel L.</t>
  </si>
  <si>
    <t>Renee R.</t>
  </si>
  <si>
    <t>Flenoid, C.</t>
  </si>
  <si>
    <t>Kathleen B.</t>
  </si>
  <si>
    <t>MWTFS</t>
  </si>
  <si>
    <t>Flores, T.</t>
  </si>
  <si>
    <t>Franco, M.</t>
  </si>
  <si>
    <t>Margo P.</t>
  </si>
  <si>
    <t>Fuentes, A.</t>
  </si>
  <si>
    <t>Stacy M.</t>
  </si>
  <si>
    <t>Garcia, J.</t>
  </si>
  <si>
    <t>Garcia Chavez, L.</t>
  </si>
  <si>
    <t>Garcia Ramirez, R.</t>
  </si>
  <si>
    <t>Karla G.</t>
  </si>
  <si>
    <t>8a-10a</t>
  </si>
  <si>
    <t xml:space="preserve">Garcia Torres, R. </t>
  </si>
  <si>
    <t>Gardner, N.</t>
  </si>
  <si>
    <t>10a-12p</t>
  </si>
  <si>
    <t>2p-4p</t>
  </si>
  <si>
    <t>3pm-5pm</t>
  </si>
  <si>
    <t>Sat-Sun</t>
  </si>
  <si>
    <t>Gonzalez, L.</t>
  </si>
  <si>
    <t>Mon &amp; Fri</t>
  </si>
  <si>
    <t>12p-2p</t>
  </si>
  <si>
    <t>Gonzalez Martinez, E.</t>
  </si>
  <si>
    <t>Nadhii B.</t>
  </si>
  <si>
    <t>Guzman, M.</t>
  </si>
  <si>
    <t>Guzman Palacios, N.</t>
  </si>
  <si>
    <t>Adam M.</t>
  </si>
  <si>
    <t>Hernandez, P.</t>
  </si>
  <si>
    <t>Herrera, G.</t>
  </si>
  <si>
    <t>11am-1pm</t>
  </si>
  <si>
    <t>Jimenez, G.</t>
  </si>
  <si>
    <t>Jackson, J.</t>
  </si>
  <si>
    <t>Michael H.</t>
  </si>
  <si>
    <t>4pm-6pm</t>
  </si>
  <si>
    <t>Tues &amp; Thurs</t>
  </si>
  <si>
    <t>Kirkland, J.</t>
  </si>
  <si>
    <t>Monique R.</t>
  </si>
  <si>
    <t>Kubiak, P.</t>
  </si>
  <si>
    <t>10:30a-12:30pm</t>
  </si>
  <si>
    <t>Linner, M.</t>
  </si>
  <si>
    <t>Lynch,E.</t>
  </si>
  <si>
    <t>Lowery, R.</t>
  </si>
  <si>
    <t>Loya, J.</t>
  </si>
  <si>
    <t>Macias, J.</t>
  </si>
  <si>
    <t>Josephine M.</t>
  </si>
  <si>
    <t>Martinez, M.</t>
  </si>
  <si>
    <t>Matias Bautista, A.</t>
  </si>
  <si>
    <t>Minor, D.</t>
  </si>
  <si>
    <t>Mon &amp; Thurs</t>
  </si>
  <si>
    <t>Mclaughlin, J.</t>
  </si>
  <si>
    <t>Medina, G.</t>
  </si>
  <si>
    <t>14xweek</t>
  </si>
  <si>
    <t>AM &amp; PM</t>
  </si>
  <si>
    <t>Mendez, M.</t>
  </si>
  <si>
    <t>Montes, C.</t>
  </si>
  <si>
    <t>Mora, A.</t>
  </si>
  <si>
    <t>Moreno, J.</t>
  </si>
  <si>
    <t>Tues &amp; Fri</t>
  </si>
  <si>
    <t>Ocampo Salgado, P.</t>
  </si>
  <si>
    <t>Olson, T.</t>
  </si>
  <si>
    <t>Parker, C.</t>
  </si>
  <si>
    <t>6pm-8pm</t>
  </si>
  <si>
    <t>Puerto, J.</t>
  </si>
  <si>
    <t>Ray R.</t>
  </si>
  <si>
    <t>4:30 pm-6:30 pm</t>
  </si>
  <si>
    <t>Reed, J.</t>
  </si>
  <si>
    <t>Richards, A.</t>
  </si>
  <si>
    <t>SNF</t>
  </si>
  <si>
    <t>Rider, L.</t>
  </si>
  <si>
    <t>Mon &amp; Wed</t>
  </si>
  <si>
    <t>Salazar, M.</t>
  </si>
  <si>
    <t>Irene G.</t>
  </si>
  <si>
    <t>Sepich, M.</t>
  </si>
  <si>
    <t>Sierra, G.</t>
  </si>
  <si>
    <t>Sims, S.</t>
  </si>
  <si>
    <t>Tablas, R.</t>
  </si>
  <si>
    <t xml:space="preserve">Toxqui, M. </t>
  </si>
  <si>
    <t>Jervia F.</t>
  </si>
  <si>
    <t>Turest, V.</t>
  </si>
  <si>
    <t>Turcios, S.</t>
  </si>
  <si>
    <t>Vasquez, V.</t>
  </si>
  <si>
    <t>Vega, S.</t>
  </si>
  <si>
    <t>10a-12P</t>
  </si>
  <si>
    <t>9:45a-11:45a</t>
  </si>
  <si>
    <t>Walton, J.</t>
  </si>
  <si>
    <t>9a-11a</t>
  </si>
  <si>
    <t>1p-3p</t>
  </si>
  <si>
    <t>Participant's First and Last Name</t>
  </si>
  <si>
    <t>Discharged Date</t>
  </si>
  <si>
    <t>Calvin Milner</t>
  </si>
  <si>
    <t>Karen Lee Patton</t>
  </si>
  <si>
    <t>Philip Bishay</t>
  </si>
  <si>
    <t>Della Clark</t>
  </si>
  <si>
    <t>Sammie Neve</t>
  </si>
  <si>
    <t xml:space="preserve">Redolfo Casil </t>
  </si>
  <si>
    <t>Delareco Pacely</t>
  </si>
  <si>
    <t>Guillermo Corrales</t>
  </si>
  <si>
    <t>Mario Mendez</t>
  </si>
  <si>
    <t>Maria Santa Lopez</t>
  </si>
  <si>
    <t>Zoila Coto Rodriguez</t>
  </si>
  <si>
    <t>Rochelle Olsen</t>
  </si>
  <si>
    <t>Albert Matias</t>
  </si>
  <si>
    <t>Cynthia Tejeda</t>
  </si>
  <si>
    <t>Maria Gomez Mendoza</t>
  </si>
  <si>
    <t>Richard Johnson</t>
  </si>
  <si>
    <t>Rogelio Gomez</t>
  </si>
  <si>
    <t>Natalie Balard</t>
  </si>
  <si>
    <t>Flores Cota, M.</t>
  </si>
  <si>
    <t>Mason, P.</t>
  </si>
  <si>
    <t>Verduzco Mota, E.</t>
  </si>
  <si>
    <t>Bergelin, R.</t>
  </si>
  <si>
    <t>Estrada, I.</t>
  </si>
  <si>
    <t>Woodward, D.</t>
  </si>
  <si>
    <t>Diaz, M.</t>
  </si>
  <si>
    <t>Matias, A.</t>
  </si>
  <si>
    <t>Szczygiel, T.</t>
  </si>
  <si>
    <t>Depiero, G.</t>
  </si>
  <si>
    <t>Quintero, E.</t>
  </si>
  <si>
    <t>Dulina, D.</t>
  </si>
  <si>
    <t>Pegues, J.</t>
  </si>
  <si>
    <t>Fudge, R.</t>
  </si>
  <si>
    <t>Wallace, D.</t>
  </si>
  <si>
    <t>Delrio, R.</t>
  </si>
  <si>
    <t>Thamarath, O.</t>
  </si>
  <si>
    <t>Jackson, K.</t>
  </si>
  <si>
    <t>De Nolf, T.</t>
  </si>
  <si>
    <t>Cooper, S.</t>
  </si>
  <si>
    <t>Nemetz, R.</t>
  </si>
  <si>
    <t>Cancelled 8/24 per Gwen's email</t>
  </si>
  <si>
    <t>Govan, A.</t>
  </si>
  <si>
    <t>Maciel, I.</t>
  </si>
  <si>
    <t>Rhoads, D.</t>
  </si>
  <si>
    <t>Salas, R.</t>
  </si>
  <si>
    <t>Webb, J.</t>
  </si>
  <si>
    <t>HH Per Gwen's advise</t>
  </si>
  <si>
    <t>Bolte, M.</t>
  </si>
  <si>
    <t>Warren, S.</t>
  </si>
  <si>
    <t>Woldmskel, E.</t>
  </si>
  <si>
    <t>both HH &amp; HC</t>
  </si>
  <si>
    <t>Stathopoulos, K.</t>
  </si>
  <si>
    <t>Cancelled per Leah's advise</t>
  </si>
  <si>
    <t>Sanchez, M.</t>
  </si>
  <si>
    <t>Humberto, D.</t>
  </si>
  <si>
    <t>White, W.</t>
  </si>
  <si>
    <t>Ppt expired 11/8/2023</t>
  </si>
  <si>
    <t>Per RNCM email 11.14.23</t>
  </si>
  <si>
    <t>O'brien, P.</t>
  </si>
  <si>
    <t xml:space="preserve">Parra, M. </t>
  </si>
  <si>
    <t>Contreras, M.</t>
  </si>
  <si>
    <t>Disenrolled</t>
  </si>
  <si>
    <t>Per RN CM's advise</t>
  </si>
  <si>
    <t>Fix, T.</t>
  </si>
  <si>
    <t>email 12/27</t>
  </si>
  <si>
    <t>Figueroa, L.</t>
  </si>
  <si>
    <t>Passed away 1/7/2024</t>
  </si>
  <si>
    <t>Castro, S.</t>
  </si>
  <si>
    <t>Passed away 1/12/2024</t>
  </si>
  <si>
    <t>Cayetano, S</t>
  </si>
  <si>
    <t>Discharged Hcare per RNCM's advise</t>
  </si>
  <si>
    <t>Tamayo, J.</t>
  </si>
  <si>
    <t>Per RNCM's advise</t>
  </si>
  <si>
    <t>Tejeda, C.</t>
  </si>
  <si>
    <t>Passed away 1/25/2024</t>
  </si>
  <si>
    <t>Cancelled 2/8/2024</t>
  </si>
  <si>
    <t>Pohl, R.</t>
  </si>
  <si>
    <t>Johnson, R.</t>
  </si>
  <si>
    <t>Medina, E,</t>
  </si>
  <si>
    <t>Hernandez, G.</t>
  </si>
  <si>
    <t>Millan, V.</t>
  </si>
  <si>
    <t>Slover, M.</t>
  </si>
  <si>
    <t>Sterling, A.</t>
  </si>
  <si>
    <t>Passed away</t>
  </si>
  <si>
    <t>Gomez, J.</t>
  </si>
  <si>
    <t>Martinez Lara, O.</t>
  </si>
  <si>
    <t xml:space="preserve">Garcia Sanchez, M. </t>
  </si>
  <si>
    <t>Thornton, D.</t>
  </si>
  <si>
    <t>Gruber, E.</t>
  </si>
  <si>
    <t>HC cancelled</t>
  </si>
  <si>
    <t>Farrias Pullido, M.</t>
  </si>
  <si>
    <t>Borja, A.</t>
  </si>
  <si>
    <t>Garcia Jimenez, R.</t>
  </si>
  <si>
    <t>Chavez Garcia, R.</t>
  </si>
  <si>
    <t>McDonald, J.</t>
  </si>
  <si>
    <t>Wise, V.</t>
  </si>
  <si>
    <t>Moved to other state</t>
  </si>
  <si>
    <t>Estrada, M.</t>
  </si>
  <si>
    <t xml:space="preserve">   </t>
  </si>
  <si>
    <t>Lopez, S.</t>
  </si>
  <si>
    <t>Disenrolled from PACE 7/1 per Nurse Mngr</t>
  </si>
  <si>
    <t>Unskilled</t>
  </si>
  <si>
    <t>Garcia, L.</t>
  </si>
  <si>
    <t>Per HH nurse'sinfo</t>
  </si>
  <si>
    <t>Keo, R.</t>
  </si>
  <si>
    <t>Rivera Rojas, C.</t>
  </si>
  <si>
    <t>Brown, J.</t>
  </si>
  <si>
    <t>Ramirez, J.</t>
  </si>
  <si>
    <t>Macdonald, L.</t>
  </si>
  <si>
    <t>Jett, H.</t>
  </si>
  <si>
    <t>Greene, S.</t>
  </si>
  <si>
    <t>Per RNCM's email</t>
  </si>
  <si>
    <t>Atalig, J.</t>
  </si>
  <si>
    <t>Refused services</t>
  </si>
  <si>
    <t>McLaughlin, J.</t>
  </si>
  <si>
    <t>Powers, M.</t>
  </si>
  <si>
    <t>Admitted to SNF</t>
  </si>
  <si>
    <t>Diago, I.</t>
  </si>
  <si>
    <t>HOME HEALTH/SKILLED Participant's Name</t>
  </si>
  <si>
    <t>HOME CARE/UNSKILLED Participant's Name</t>
  </si>
  <si>
    <t>Garcia Torres, R.</t>
  </si>
  <si>
    <t>Lynch, E.</t>
  </si>
  <si>
    <t>FHCP EMPLOYEES</t>
  </si>
  <si>
    <t>email</t>
  </si>
  <si>
    <t>619-515-2445 ext.</t>
  </si>
  <si>
    <t>Claire Wedemier</t>
  </si>
  <si>
    <t>clairew@fhcsd.org</t>
  </si>
  <si>
    <t>Gwen Banes</t>
  </si>
  <si>
    <t>gwendolynb@fhcsd.org</t>
  </si>
  <si>
    <t>Maribel Estrada</t>
  </si>
  <si>
    <t>Mercy Crelly</t>
  </si>
  <si>
    <t>Andrey Pentzakoff</t>
  </si>
  <si>
    <t>andreyp@fhcsd.org</t>
  </si>
  <si>
    <t>Dalia Razo</t>
  </si>
  <si>
    <t>daliara@fhcsd.org</t>
  </si>
  <si>
    <t>Leah Cabrera</t>
  </si>
  <si>
    <t>leahc@fhcsd.org</t>
  </si>
  <si>
    <t>Colleen Bosse</t>
  </si>
  <si>
    <t>colleenb@fhcsd.org</t>
  </si>
  <si>
    <t>619-838-5553</t>
  </si>
  <si>
    <t>Edward Whalen</t>
  </si>
  <si>
    <t>edwardwh@fhcsd.org</t>
  </si>
  <si>
    <t>Irina Kops</t>
  </si>
  <si>
    <t>irinak@fhcsd.org</t>
  </si>
  <si>
    <t>Jillian Hanes</t>
  </si>
  <si>
    <t>jillianruthh@fhcsd.org</t>
  </si>
  <si>
    <t>Esther Chacon</t>
  </si>
  <si>
    <t>estherc@fhcsd.org</t>
  </si>
  <si>
    <t>619-952-4089</t>
  </si>
  <si>
    <t>Tia Huggins</t>
  </si>
  <si>
    <t>Silvia Valdez</t>
  </si>
  <si>
    <t>silvia@fhcsd.org</t>
  </si>
  <si>
    <t>619-502-2007</t>
  </si>
  <si>
    <t>Sandra Coronel</t>
  </si>
  <si>
    <t>Sandracor@fhcsd.org</t>
  </si>
  <si>
    <t>FHCP HOLIDAYS</t>
  </si>
  <si>
    <t>July 4th</t>
  </si>
  <si>
    <t>Date</t>
  </si>
  <si>
    <t>Day of Week</t>
  </si>
  <si>
    <t>Holiday Name</t>
  </si>
  <si>
    <t>HC</t>
  </si>
  <si>
    <t>New Year’s Day</t>
  </si>
  <si>
    <t>Denise</t>
  </si>
  <si>
    <t>Edward</t>
  </si>
  <si>
    <t>Thursday</t>
  </si>
  <si>
    <t>Independence Day</t>
  </si>
  <si>
    <t>A Day after Thanksgiving</t>
  </si>
  <si>
    <t>Wednesday</t>
  </si>
  <si>
    <t>C.N.A./PCA</t>
  </si>
  <si>
    <t>LVN</t>
  </si>
  <si>
    <t>RN</t>
  </si>
  <si>
    <t>North County</t>
  </si>
  <si>
    <t>Danilo N.</t>
  </si>
  <si>
    <t>Heidi W.</t>
  </si>
  <si>
    <t>Kenneth S.</t>
  </si>
  <si>
    <t>Diana M.</t>
  </si>
  <si>
    <t>Patrick K.</t>
  </si>
  <si>
    <t>Brandon L.</t>
  </si>
  <si>
    <t>Samantha R.</t>
  </si>
  <si>
    <t>Sche'kinah O.</t>
  </si>
  <si>
    <t>Norka M.</t>
  </si>
  <si>
    <t>Natasha S.</t>
  </si>
  <si>
    <t>Lakisha L.</t>
  </si>
  <si>
    <t>Fernanda C.</t>
  </si>
  <si>
    <t>Joy C.</t>
  </si>
  <si>
    <t>Trina T.</t>
  </si>
  <si>
    <t>Cristina M.</t>
  </si>
  <si>
    <t>Jeanne B.*</t>
  </si>
  <si>
    <t>Daniella G.</t>
  </si>
  <si>
    <t>Patricia F.</t>
  </si>
  <si>
    <t>Jayvee J.</t>
  </si>
  <si>
    <t>Frances R.</t>
  </si>
  <si>
    <t>Marilyn G.</t>
  </si>
  <si>
    <t>Carla C.</t>
  </si>
  <si>
    <t>Blair D.</t>
  </si>
  <si>
    <t>Eliseo M.</t>
  </si>
  <si>
    <t>Kristina Z.</t>
  </si>
  <si>
    <t>Maleah H.</t>
  </si>
  <si>
    <t>Anne (Noel) L.</t>
  </si>
  <si>
    <t>Jessica B.</t>
  </si>
  <si>
    <t>Guadalupe M.</t>
  </si>
  <si>
    <t>Adayilo Y.</t>
  </si>
  <si>
    <t>Mynerva R.</t>
  </si>
  <si>
    <t>Ethna B.</t>
  </si>
  <si>
    <t>Lara R.</t>
  </si>
  <si>
    <t>Patel R.</t>
  </si>
  <si>
    <t>Giselle H.</t>
  </si>
  <si>
    <t>Jamell B.</t>
  </si>
  <si>
    <t>Fatima T.</t>
  </si>
  <si>
    <t>Ekjot A.</t>
  </si>
  <si>
    <t>Mariko S.</t>
  </si>
  <si>
    <t>Maya E.</t>
  </si>
  <si>
    <t>Alyssa G.</t>
  </si>
  <si>
    <t>Jacqueline L.</t>
  </si>
  <si>
    <t>Sandra M.</t>
  </si>
  <si>
    <t>Chloe A.</t>
  </si>
  <si>
    <t>Chris B.</t>
  </si>
  <si>
    <t>Full Name</t>
  </si>
  <si>
    <t>Hiring Source</t>
  </si>
  <si>
    <t>Most Recent Hire</t>
  </si>
  <si>
    <t>Monique Ramos</t>
  </si>
  <si>
    <t>Brightstar</t>
  </si>
  <si>
    <t>Renee Ramos</t>
  </si>
  <si>
    <t>Eric Estes</t>
  </si>
  <si>
    <t>Michelle Sanantonio</t>
  </si>
  <si>
    <t>Margo Porter</t>
  </si>
  <si>
    <t>Yolanda Tolliver</t>
  </si>
  <si>
    <t>Perla Carrera</t>
  </si>
  <si>
    <t>Patricia Stanford</t>
  </si>
  <si>
    <t>Patricia Flores</t>
  </si>
  <si>
    <t>Emily Jimenez</t>
  </si>
  <si>
    <t>Damascene Tumaine</t>
  </si>
  <si>
    <t>Malcolm Linton</t>
  </si>
  <si>
    <t>Angelica Goudin</t>
  </si>
  <si>
    <t>Susan Rubalcava</t>
  </si>
  <si>
    <t>Andres Gomez</t>
  </si>
  <si>
    <t>Diana Noriega Martinez</t>
  </si>
  <si>
    <t>Danilo Nagal</t>
  </si>
  <si>
    <t>Jervia Fickens</t>
  </si>
  <si>
    <t>Mary Brown</t>
  </si>
  <si>
    <t>Norka Montero</t>
  </si>
  <si>
    <t>Eliseo Mancilla</t>
  </si>
  <si>
    <t>Trina Tahiry</t>
  </si>
  <si>
    <t>Samantha Rodriguez</t>
  </si>
  <si>
    <t>Marites Umali</t>
  </si>
  <si>
    <t>Vincent Sanantonio</t>
  </si>
  <si>
    <t>2xd AM and PM on Tuesdays/Thursdays/Saturdays (dialysis days)</t>
  </si>
  <si>
    <t>3xd (AM, NOON, PM) on Mondays/Wednesdays/Fridays/Sundays</t>
  </si>
  <si>
    <t>8pm-10pm</t>
  </si>
  <si>
    <t>4xWeek</t>
  </si>
  <si>
    <t>Muniba D.</t>
  </si>
  <si>
    <t>Abigail A.</t>
  </si>
  <si>
    <t>Fri</t>
  </si>
  <si>
    <t>Henderson T.</t>
  </si>
  <si>
    <t>Sanchez, G.</t>
  </si>
  <si>
    <t>Sanchez, C.</t>
  </si>
  <si>
    <t>Sandoval L.</t>
  </si>
  <si>
    <t>2:00pm-4:00pm</t>
  </si>
  <si>
    <t>Herrera, M.</t>
  </si>
  <si>
    <t>Audia, A.</t>
  </si>
  <si>
    <t>Brigette S.</t>
  </si>
  <si>
    <t>Ejigayehu (Jijee)</t>
  </si>
  <si>
    <t>Daisy F.</t>
  </si>
  <si>
    <t>Fatuma S.</t>
  </si>
  <si>
    <t>Michel F.</t>
  </si>
  <si>
    <t>Sandino, R.</t>
  </si>
  <si>
    <t>Thur - Sun</t>
  </si>
  <si>
    <t>Kenneth Sierleja</t>
  </si>
  <si>
    <t>Jasmin Jauregui</t>
  </si>
  <si>
    <t>Don McCluster</t>
  </si>
  <si>
    <t>Tasha Carey</t>
  </si>
  <si>
    <t>Keah Gomez</t>
  </si>
  <si>
    <t>Stacy Munro</t>
  </si>
  <si>
    <t>Brian Melgar</t>
  </si>
  <si>
    <t>Sche'kinah Ortiz</t>
  </si>
  <si>
    <t>Joshua Hahn</t>
  </si>
  <si>
    <t>Natasha Shepherd</t>
  </si>
  <si>
    <t>Fernanda Carvalho</t>
  </si>
  <si>
    <t>June Medina</t>
  </si>
  <si>
    <t>Irene Grepo</t>
  </si>
  <si>
    <t>Maleah Harris</t>
  </si>
  <si>
    <t>Anne Lawrence</t>
  </si>
  <si>
    <t>Guadalupe Martinez</t>
  </si>
  <si>
    <t>Karla Gonzalez</t>
  </si>
  <si>
    <t>Heidi Wester</t>
  </si>
  <si>
    <t>Cristina Malinis</t>
  </si>
  <si>
    <t>Leticia Reyes</t>
  </si>
  <si>
    <t>Daniela Gonzalez</t>
  </si>
  <si>
    <t>Hadassa Yusuf</t>
  </si>
  <si>
    <t>Akilah Hudson</t>
  </si>
  <si>
    <t>Patrick Kaples</t>
  </si>
  <si>
    <t>Frances Raquino</t>
  </si>
  <si>
    <t>Ethna Bela</t>
  </si>
  <si>
    <t>Carla Chavez</t>
  </si>
  <si>
    <t>Kathleen Bautista</t>
  </si>
  <si>
    <t>Ekjot Atwal</t>
  </si>
  <si>
    <t>Nadhii Bachie</t>
  </si>
  <si>
    <t>Regina Tantoh</t>
  </si>
  <si>
    <t>Ejigayehu Wakjira</t>
  </si>
  <si>
    <t>Luis Martinez</t>
  </si>
  <si>
    <t>Marimar Valdez camacho</t>
  </si>
  <si>
    <t>Kristina Zuanich</t>
  </si>
  <si>
    <t>Adam Miller</t>
  </si>
  <si>
    <t>Eknoor Atwal</t>
  </si>
  <si>
    <t>Josephine Marshall</t>
  </si>
  <si>
    <t>Mayrela Portillo</t>
  </si>
  <si>
    <t>Felicia Cain</t>
  </si>
  <si>
    <t>Priscilla Castro Blake</t>
  </si>
  <si>
    <t>Giselle Herrera</t>
  </si>
  <si>
    <t>Ray Clarence Reyes</t>
  </si>
  <si>
    <t>Jacqueline Lopez</t>
  </si>
  <si>
    <t>Amanda Meyers</t>
  </si>
  <si>
    <t>Gladimir Dumorne</t>
  </si>
  <si>
    <t>Lakeisha Gautier</t>
  </si>
  <si>
    <t>Sandra McGowan</t>
  </si>
  <si>
    <t>Daisy Famobuwa</t>
  </si>
  <si>
    <t>Michael Horton</t>
  </si>
  <si>
    <t>Fatuma Shulungu</t>
  </si>
  <si>
    <t>Byron Bandonell</t>
  </si>
  <si>
    <t>Marilyn Gabriana</t>
  </si>
  <si>
    <t>Andreia Cruz</t>
  </si>
  <si>
    <t>Adayilo (Gift) Yusuf</t>
  </si>
  <si>
    <t>Mariko Sato</t>
  </si>
  <si>
    <t>Roya Tahiry</t>
  </si>
  <si>
    <t>Alyssa Guihama</t>
  </si>
  <si>
    <t>Blair Dietrich</t>
  </si>
  <si>
    <t>Mynerva Ramirez Trebil</t>
  </si>
  <si>
    <t>Stacey Ingalls</t>
  </si>
  <si>
    <t>Brigette Santos</t>
  </si>
  <si>
    <t>Michel Fonte</t>
  </si>
  <si>
    <t>PM visits</t>
  </si>
  <si>
    <t>Flores</t>
  </si>
  <si>
    <t>North County RN</t>
  </si>
  <si>
    <t>Shitikova L.</t>
  </si>
  <si>
    <t>Mordecai Y.</t>
  </si>
  <si>
    <t>Tues, Thurs</t>
  </si>
  <si>
    <t>Mordecai Yusuf</t>
  </si>
  <si>
    <t>Daniel Chavez</t>
  </si>
  <si>
    <t>Funmi Croston</t>
  </si>
  <si>
    <t>Abigail Adrianse</t>
  </si>
  <si>
    <t xml:space="preserve">Ejigayehu W. </t>
  </si>
  <si>
    <t>Aaron</t>
  </si>
  <si>
    <t>aarongo@fhcsd.org</t>
  </si>
  <si>
    <t>Benny Grepo</t>
  </si>
  <si>
    <t>Campbell, C</t>
  </si>
  <si>
    <t>Arnold M.</t>
  </si>
  <si>
    <t>Bethzaida K.</t>
  </si>
  <si>
    <t>Keah G.</t>
  </si>
  <si>
    <t>4:00 pm - 6:00 pm</t>
  </si>
  <si>
    <t>6:00 pm - 8:00 pm</t>
  </si>
  <si>
    <t>Daniel C.</t>
  </si>
  <si>
    <t>George Cachu</t>
  </si>
  <si>
    <t>Bethzaida Kiah</t>
  </si>
  <si>
    <t>Maryam Zarabi</t>
  </si>
  <si>
    <t>Salamatu Musa</t>
  </si>
  <si>
    <t>Wynn, K.</t>
  </si>
  <si>
    <t>Nehita</t>
  </si>
  <si>
    <t>nehitaoa@fhcsd.org</t>
  </si>
  <si>
    <t>TWF</t>
  </si>
  <si>
    <t>Miller, D.</t>
  </si>
  <si>
    <t>nehitao@fhcsd.org</t>
  </si>
  <si>
    <t>Keani H.</t>
  </si>
  <si>
    <t>Mon, Wed,Fri</t>
  </si>
  <si>
    <t>Liebrich, J.</t>
  </si>
  <si>
    <t>Mon &amp;  Fri</t>
  </si>
  <si>
    <t>No Mon &amp; Wed AM visits</t>
  </si>
  <si>
    <t>Hall, M.</t>
  </si>
  <si>
    <t>Hospitalized</t>
  </si>
  <si>
    <t>Sorkhabi, S.</t>
  </si>
  <si>
    <t xml:space="preserve">Santiago, A. </t>
  </si>
  <si>
    <t>Worthen, F.</t>
  </si>
  <si>
    <t>Jones, S.</t>
  </si>
  <si>
    <t>Maria Ramirez</t>
  </si>
  <si>
    <t>Belem Brown</t>
  </si>
  <si>
    <t>Cancelled per Nehita (HH &amp; HC)</t>
  </si>
  <si>
    <t>Jijee W.</t>
  </si>
  <si>
    <t>Per RNCM</t>
  </si>
  <si>
    <t>6am-6pm</t>
  </si>
  <si>
    <t>Nicole S.</t>
  </si>
  <si>
    <t>Margarita Mata</t>
  </si>
  <si>
    <t>Colleen Rose</t>
  </si>
  <si>
    <t>Colleen R.</t>
  </si>
  <si>
    <t>Hospitalized 2/14/25 per RNCM Nehita</t>
  </si>
  <si>
    <t>Tue-Fri</t>
  </si>
  <si>
    <t>Tue &amp; Fri</t>
  </si>
  <si>
    <t>On hold until relocation</t>
  </si>
  <si>
    <t>James Snyder</t>
  </si>
  <si>
    <t>Jayvee Varela</t>
  </si>
  <si>
    <t>CG</t>
  </si>
  <si>
    <t>Per RNCM;keeps refusing HH services</t>
  </si>
  <si>
    <t>8:00am - 10:00 am</t>
  </si>
  <si>
    <t>Henderson, P.</t>
  </si>
  <si>
    <t>Smith, C.</t>
  </si>
  <si>
    <t>George C.</t>
  </si>
  <si>
    <t>Lopez, E.</t>
  </si>
  <si>
    <t>Tues, Th, &amp; Fri</t>
  </si>
  <si>
    <t>M,W, Fri, Sat, Sun</t>
  </si>
  <si>
    <t>AM visits</t>
  </si>
  <si>
    <t>Santana Zepeda M.</t>
  </si>
  <si>
    <t>Reyes Mendez, R.</t>
  </si>
  <si>
    <t>Escort Assistance only - new auth received</t>
  </si>
  <si>
    <t xml:space="preserve">Morones, </t>
  </si>
  <si>
    <t>Morones, E.</t>
  </si>
  <si>
    <t>Zuniga Sandoval, V.</t>
  </si>
  <si>
    <t>Santiago, A.</t>
  </si>
  <si>
    <t>?</t>
  </si>
  <si>
    <t>D/c 3/5 per RNCM Galia</t>
  </si>
  <si>
    <t>Disenrolled per Leah 3/6/2025</t>
  </si>
  <si>
    <t>Mon &amp; Th: 8am &amp; after 4pm visits</t>
  </si>
  <si>
    <t>5:00 pm - 7:00 pm</t>
  </si>
  <si>
    <t>Claudia Fronda</t>
  </si>
  <si>
    <t>Escort Assistance only</t>
  </si>
  <si>
    <t>Sophia Zouvas</t>
  </si>
  <si>
    <t>Ryan, J.</t>
  </si>
  <si>
    <t>Passed away 3/19/2025</t>
  </si>
  <si>
    <t>Passed away 3/20/2025</t>
  </si>
  <si>
    <t>4:30 pm - 6:30pm</t>
  </si>
  <si>
    <t xml:space="preserve">Quiroz, D. </t>
  </si>
  <si>
    <t>Refused services; Cancelled 3/24/25 by RNCM Nehita thru phone call</t>
  </si>
  <si>
    <t>Fatemeh Veisch</t>
  </si>
  <si>
    <t>TTHS</t>
  </si>
  <si>
    <t>8:00 am - 10:00 pm</t>
  </si>
  <si>
    <t>8am-10;12-2pm;6-8pm</t>
  </si>
  <si>
    <t>Mon, Wed, Thurs, Fri</t>
  </si>
  <si>
    <t>Martinez, S.</t>
  </si>
  <si>
    <t>Fatemeh V.</t>
  </si>
  <si>
    <t>Danielle T.</t>
  </si>
  <si>
    <t>daniellet@fhcsd.org</t>
  </si>
  <si>
    <t>Wed &amp;Thu</t>
  </si>
  <si>
    <t>M &amp; W</t>
  </si>
  <si>
    <t>Daud(ppt's son)- 619-966-8081</t>
  </si>
  <si>
    <t>Hospitalized 4/09/25 -SNF upon DC</t>
  </si>
  <si>
    <t>Reyes, R.</t>
  </si>
  <si>
    <t>M-Th</t>
  </si>
  <si>
    <t>Marimar Valdez Camacho</t>
  </si>
  <si>
    <t>Margarita M.</t>
  </si>
  <si>
    <t>George, P.</t>
  </si>
  <si>
    <t>5pm preferred</t>
  </si>
  <si>
    <t>Mon - Fri</t>
  </si>
  <si>
    <t>7:30am-9:30am</t>
  </si>
  <si>
    <t>Gallegos, M.</t>
  </si>
  <si>
    <t>Berend, S.</t>
  </si>
  <si>
    <t>9:00am - 11:00 am</t>
  </si>
  <si>
    <t>Mercedes S.</t>
  </si>
  <si>
    <t>5/8/2025 (Thurs)</t>
  </si>
  <si>
    <t>5/9/2025 (Friday)</t>
  </si>
  <si>
    <t>5/11/2025 (Sunday)</t>
  </si>
  <si>
    <t>5/12/2025 (Monday)</t>
  </si>
  <si>
    <t>5/13/2025(Tuesday)</t>
  </si>
  <si>
    <t>Adriana Chavez</t>
  </si>
  <si>
    <t>5/10/2025 (Saturday)</t>
  </si>
  <si>
    <t>Tues &amp;Thurs</t>
  </si>
  <si>
    <t>Nathaniel Gardner</t>
  </si>
  <si>
    <t>Genaro Calderon</t>
  </si>
  <si>
    <t>Annette Tucker</t>
  </si>
  <si>
    <t>Steven Berend</t>
  </si>
  <si>
    <t>Alma Martinez</t>
  </si>
  <si>
    <t>Dolores Medrano</t>
  </si>
  <si>
    <t>Moreno Cardneas</t>
  </si>
  <si>
    <t>Rosemary Raney</t>
  </si>
  <si>
    <t>Jessie Suit</t>
  </si>
  <si>
    <t>Eana Tsehaynesh</t>
  </si>
  <si>
    <t>Edgar Lopez</t>
  </si>
  <si>
    <t>Aracely Barillas</t>
  </si>
  <si>
    <t>Bataz Bernardino</t>
  </si>
  <si>
    <t>Martha Granados</t>
  </si>
  <si>
    <t>Alma Moreno</t>
  </si>
  <si>
    <t>Tetyana Ostrushko</t>
  </si>
  <si>
    <t>Alejandro Medina</t>
  </si>
  <si>
    <t>Esther Medina</t>
  </si>
  <si>
    <t>Celia Montes</t>
  </si>
  <si>
    <t>Seid Agegnehu</t>
  </si>
  <si>
    <t>Daniel Minor</t>
  </si>
  <si>
    <t>Mark Sepich</t>
  </si>
  <si>
    <t>Joseph Edinger-Smith</t>
  </si>
  <si>
    <t>Rey Melo Ponce De Leon</t>
  </si>
  <si>
    <t>Reina Figueora (962019)</t>
  </si>
  <si>
    <t>Rosalina Chavez Garcia</t>
  </si>
  <si>
    <t>Pedro Castaneda</t>
  </si>
  <si>
    <t>Maria Castaneda</t>
  </si>
  <si>
    <t>Jose Andrade</t>
  </si>
  <si>
    <t>Robert Labriola</t>
  </si>
  <si>
    <t>Esperanza Ontiveros</t>
  </si>
  <si>
    <t>Zungia Sandoval</t>
  </si>
  <si>
    <t>Phillip Bishay</t>
  </si>
  <si>
    <t>Gilberto Medina</t>
  </si>
  <si>
    <t>Claudia F.</t>
  </si>
  <si>
    <t xml:space="preserve">Sat </t>
  </si>
  <si>
    <t>Celia M.</t>
  </si>
  <si>
    <t>Monday thru Friday</t>
  </si>
  <si>
    <t>June 02 until June 20, 2025</t>
  </si>
  <si>
    <t>Participant (ppt)</t>
  </si>
  <si>
    <t>Inclusive dates of coverage needed</t>
  </si>
  <si>
    <t>Edgar L.</t>
  </si>
  <si>
    <t>Roberto R.</t>
  </si>
  <si>
    <t>June 04, 11, &amp; 18</t>
  </si>
  <si>
    <t>Denise V.</t>
  </si>
  <si>
    <t>June 05, 12, &amp; 19</t>
  </si>
  <si>
    <t>Fatemeh</t>
  </si>
  <si>
    <t>Margo</t>
  </si>
  <si>
    <t>Mon, Tues, Th, &amp; Fri</t>
  </si>
  <si>
    <t>Jefferey R.</t>
  </si>
  <si>
    <t>Daniel A.</t>
  </si>
  <si>
    <t>June 2, 6, 9, 13, 16, &amp; 20</t>
  </si>
  <si>
    <t>Eric</t>
  </si>
  <si>
    <t>Maria D.</t>
  </si>
  <si>
    <t>Thurs only</t>
  </si>
  <si>
    <t>Wed only</t>
  </si>
  <si>
    <t>Notes</t>
  </si>
  <si>
    <t>Assigned Nurse</t>
  </si>
  <si>
    <t>EXP: 5/26/2025</t>
  </si>
  <si>
    <t>EXP: 4/27/2025 (Ongoing)</t>
  </si>
  <si>
    <t>EXP: 5/27/2025 (Ongoing)</t>
  </si>
  <si>
    <t>follow up on June 1st to confirm her availability</t>
  </si>
  <si>
    <t>Mon &amp; Fri only</t>
  </si>
  <si>
    <t>Verduzco, E.</t>
  </si>
  <si>
    <t>5pm-5am</t>
  </si>
  <si>
    <t>5am-7am</t>
  </si>
  <si>
    <t>Trina</t>
  </si>
  <si>
    <t>5am - 7am</t>
  </si>
  <si>
    <t>7am-7pm</t>
  </si>
  <si>
    <t>Claudia</t>
  </si>
  <si>
    <t>7pm-7am</t>
  </si>
  <si>
    <t>5pm - 5am</t>
  </si>
  <si>
    <t>Samantha</t>
  </si>
  <si>
    <t>Emily</t>
  </si>
  <si>
    <t>Time</t>
  </si>
  <si>
    <t>Legend:</t>
  </si>
  <si>
    <r>
      <t>Sche'kinah Ortiz (</t>
    </r>
    <r>
      <rPr>
        <i/>
        <sz val="10"/>
        <color theme="1"/>
        <rFont val="Calibri"/>
        <family val="2"/>
        <scheme val="minor"/>
      </rPr>
      <t>Indefinite Leave)</t>
    </r>
  </si>
  <si>
    <r>
      <t>Kenneth Sierleja</t>
    </r>
    <r>
      <rPr>
        <i/>
        <sz val="10"/>
        <color theme="1"/>
        <rFont val="Calibri"/>
        <family val="2"/>
        <scheme val="minor"/>
      </rPr>
      <t xml:space="preserve"> (Deployed)</t>
    </r>
  </si>
  <si>
    <t>Moved to Oceanside; declined HH services</t>
  </si>
  <si>
    <t>Cancelled</t>
  </si>
  <si>
    <t>Guzman, N.</t>
  </si>
  <si>
    <t>Guzman M.</t>
  </si>
  <si>
    <t>Del Rio, R.</t>
  </si>
  <si>
    <t>Sandra Oswald</t>
  </si>
  <si>
    <t>Bibiana Mendoza</t>
  </si>
  <si>
    <t>Irma Briseno</t>
  </si>
  <si>
    <t>Elsey Hoopi</t>
  </si>
  <si>
    <t>Nicole Sahagun</t>
  </si>
  <si>
    <t>Active / Visiting patients</t>
  </si>
  <si>
    <t>Tue, Thur</t>
  </si>
  <si>
    <t>hospitalized</t>
  </si>
  <si>
    <t>3/18/2025, 05/29/2025</t>
  </si>
  <si>
    <t>Margarita Garcia Mata</t>
  </si>
  <si>
    <t>Mercedes Salazar</t>
  </si>
  <si>
    <t>Adriana</t>
  </si>
  <si>
    <t>Miriam Garcia Estrada</t>
  </si>
  <si>
    <t>Rochelle Goose</t>
  </si>
  <si>
    <t>javier Hilda</t>
  </si>
  <si>
    <t>confirmed by CM Danielle</t>
  </si>
  <si>
    <t>Bahena, Jesus</t>
  </si>
  <si>
    <t>in hospice care as per CM Galia</t>
  </si>
  <si>
    <t>W,F</t>
  </si>
  <si>
    <t>3:00pm - 5:00pm</t>
  </si>
  <si>
    <t>11:00am - 1:00pm</t>
  </si>
  <si>
    <t>SatSun</t>
  </si>
  <si>
    <t>M to F</t>
  </si>
  <si>
    <t>T,W,Th, Sat and Sun</t>
  </si>
  <si>
    <t>Athena Dahlin</t>
  </si>
  <si>
    <t>Andrea Jacome</t>
  </si>
  <si>
    <t>Mon,Wed,Fri</t>
  </si>
  <si>
    <t>8a-10am</t>
  </si>
  <si>
    <t>Wed, Fri</t>
  </si>
  <si>
    <t>Rochelle G.</t>
  </si>
  <si>
    <t>9:30am - 11:30am</t>
  </si>
  <si>
    <t>Baker, R.</t>
  </si>
  <si>
    <t>Tue, Wed, Thurs, Fri</t>
  </si>
  <si>
    <t>1:00pm - 3:00pm</t>
  </si>
  <si>
    <t>McGinn, M.</t>
  </si>
  <si>
    <t>HH Cancelled per Leah's advise</t>
  </si>
  <si>
    <t>Szczygiel, L.</t>
  </si>
  <si>
    <t>Johnnie Jackson</t>
  </si>
  <si>
    <t>discharged from PACE/BSC services per CM Galia</t>
  </si>
  <si>
    <t>Stephens, J.</t>
  </si>
  <si>
    <t>hospitalized/SNF</t>
  </si>
  <si>
    <t>Bautista Llovis, J.</t>
  </si>
  <si>
    <t>Chaaban, R.</t>
  </si>
  <si>
    <t xml:space="preserve">Jayvee Varela </t>
  </si>
  <si>
    <t>Kudlemyer, C.</t>
  </si>
  <si>
    <t>10:00 am -1:00 pm</t>
  </si>
  <si>
    <t>Mon, Tue, Thu, Fri</t>
  </si>
  <si>
    <t>Tue, Thurs</t>
  </si>
  <si>
    <t>Wed, Fri , Sat</t>
  </si>
  <si>
    <t>Hager, R.</t>
  </si>
  <si>
    <t>Bernanke, F.</t>
  </si>
  <si>
    <t>Mcdonald, G.</t>
  </si>
  <si>
    <t>Toxqui, M</t>
  </si>
  <si>
    <t>discontinue HC per Mercy</t>
  </si>
  <si>
    <t>discontinue services per Nehita</t>
  </si>
  <si>
    <t>Discharged as per Nehita</t>
  </si>
  <si>
    <t>Murillo, R</t>
  </si>
  <si>
    <t>Discharged as per Maribel</t>
  </si>
  <si>
    <t>Tue and Thurs</t>
  </si>
  <si>
    <t>Diaz, M. F.</t>
  </si>
  <si>
    <t>Campbell, C.</t>
  </si>
  <si>
    <t>Adriana C.</t>
  </si>
  <si>
    <t>Adame-Hurtado, E.</t>
  </si>
  <si>
    <t>Adame, R.</t>
  </si>
  <si>
    <t>Binder, J.</t>
  </si>
  <si>
    <t xml:space="preserve">Byron Bandonell </t>
  </si>
  <si>
    <t>Kristina Punsalan</t>
  </si>
  <si>
    <t>Lensa Jira</t>
  </si>
  <si>
    <t>Tristan Ortega</t>
  </si>
  <si>
    <t>Tamir Lucas</t>
  </si>
  <si>
    <t>passed away</t>
  </si>
  <si>
    <t>Tamir L.</t>
  </si>
  <si>
    <t>Bibiana M.</t>
  </si>
  <si>
    <t>Tues, Wed, Fri</t>
  </si>
  <si>
    <t>10:00 am - 12:00 am</t>
  </si>
  <si>
    <t>12:00 am - 2:00 pm</t>
  </si>
  <si>
    <t>Taylor, H.</t>
  </si>
  <si>
    <t>discontinue as per Lory</t>
  </si>
  <si>
    <t>Sat and Sun</t>
  </si>
  <si>
    <t>M,W,F,Sat and Sun</t>
  </si>
  <si>
    <t>11:30am - 1:00pm</t>
  </si>
  <si>
    <t>7:00 pm-9:00 pm</t>
  </si>
  <si>
    <t>Mon-Fri, Sun</t>
  </si>
  <si>
    <t>Morales Perez, A.</t>
  </si>
  <si>
    <t>Cork, J.</t>
  </si>
  <si>
    <t>Bearden, K.</t>
  </si>
  <si>
    <t>Felsie Joy Cortes</t>
  </si>
  <si>
    <t>7:00 am-10:00 am</t>
  </si>
  <si>
    <t>Santana Lopez, M.</t>
  </si>
  <si>
    <t>Lensa J.</t>
  </si>
  <si>
    <t>discontinue as per Aaron</t>
  </si>
  <si>
    <t>discontinue as per Mercy</t>
  </si>
  <si>
    <t>Felsie C.</t>
  </si>
  <si>
    <t>will be in SNF indefinitely</t>
  </si>
  <si>
    <t>on hold as of 6/9</t>
  </si>
  <si>
    <t>hospitalized / SNF</t>
  </si>
  <si>
    <t>Rodriguez, R.</t>
  </si>
  <si>
    <t>Neri, M.</t>
  </si>
  <si>
    <t>Tue, Wed, Fri</t>
  </si>
  <si>
    <t>Green, R.</t>
  </si>
  <si>
    <t>Tue, Thur , Fri</t>
  </si>
  <si>
    <t>11am - 1pm</t>
  </si>
  <si>
    <t>Beatrice Amoah</t>
  </si>
  <si>
    <t>Cynthia Resendiz</t>
  </si>
  <si>
    <t>Anna Tiria</t>
  </si>
  <si>
    <t>Rifqa Anglo</t>
  </si>
  <si>
    <t>Tue,Thur</t>
  </si>
  <si>
    <t>cancelled</t>
  </si>
  <si>
    <t>TBD</t>
  </si>
  <si>
    <t>Felicia A.</t>
  </si>
  <si>
    <t>Shari</t>
  </si>
  <si>
    <t>Jocelyn</t>
  </si>
  <si>
    <t xml:space="preserve">jocelyng@fhcsd.org </t>
  </si>
  <si>
    <t>; sharid@fhcsd.org</t>
  </si>
  <si>
    <t>11:00 am - 3:00 pm</t>
  </si>
  <si>
    <t>Shin, H.</t>
  </si>
  <si>
    <t>De Rosa, A.</t>
  </si>
  <si>
    <t>Tue, Friday</t>
  </si>
  <si>
    <t>Parwin Shirzad</t>
  </si>
  <si>
    <t>9:30AM - 11:30AM</t>
  </si>
  <si>
    <t>Vania Garcia</t>
  </si>
  <si>
    <t>Servil, Lory &lt;lorys@fhcsd.org&gt;</t>
  </si>
  <si>
    <t>M-F</t>
  </si>
  <si>
    <t>Shannon Roberts</t>
  </si>
  <si>
    <t>Altagracia Silva</t>
  </si>
  <si>
    <t>cancelled as per Shari</t>
  </si>
  <si>
    <t>Turcios, S. M-F</t>
  </si>
  <si>
    <t>2pm-4pm</t>
  </si>
  <si>
    <t>Khadijah M.</t>
  </si>
  <si>
    <t>9:00 am - 1:00 pm</t>
  </si>
  <si>
    <t>Tue, Wed, Thur</t>
  </si>
  <si>
    <t>Bradbury, F.</t>
  </si>
  <si>
    <t xml:space="preserve">Chelsea Cochrell </t>
  </si>
  <si>
    <t>Glancy, L.</t>
  </si>
  <si>
    <t>Mon, Tue, Th</t>
  </si>
  <si>
    <t>T,W,F</t>
  </si>
  <si>
    <t>12:00pm - 2:00pm</t>
  </si>
  <si>
    <t>M, W, F, Sat and Sun</t>
  </si>
  <si>
    <t>awaiitng updated auth</t>
  </si>
  <si>
    <t>will not renew as per Shari</t>
  </si>
  <si>
    <t>Wilson, K.</t>
  </si>
  <si>
    <t>cancelled as per Keri</t>
  </si>
  <si>
    <t>Bolanos, A.</t>
  </si>
  <si>
    <t>Tues, Th, &amp; sat</t>
  </si>
  <si>
    <t>cancelled as per Maribel</t>
  </si>
  <si>
    <t>cancelled fr now per shari</t>
  </si>
  <si>
    <t>Martinez, A.</t>
  </si>
  <si>
    <t>2:00pm - 4:00pm</t>
  </si>
  <si>
    <t>Home Care Contact</t>
  </si>
  <si>
    <t>Gaunce, Christina &lt;christinagau@fhcsd.org&gt;</t>
  </si>
  <si>
    <t>-</t>
  </si>
  <si>
    <t>expired</t>
  </si>
  <si>
    <t xml:space="preserve">Aiden Sanantonio </t>
  </si>
  <si>
    <t>Khadijah Muhammad</t>
  </si>
  <si>
    <t>Boston, J.</t>
  </si>
  <si>
    <t>Laura Arpayan</t>
  </si>
  <si>
    <t>Mary Holder</t>
  </si>
  <si>
    <t>Zink, D.</t>
  </si>
  <si>
    <t>Goldstone, E.</t>
  </si>
  <si>
    <t>cancelled as per Christina</t>
  </si>
  <si>
    <t>Tue &amp; Thur</t>
  </si>
  <si>
    <t>Mia Covarrubias</t>
  </si>
  <si>
    <t>2x Week</t>
  </si>
  <si>
    <t>Chelsea C.</t>
  </si>
  <si>
    <t xml:space="preserve">Anderman, C. </t>
  </si>
  <si>
    <t>10:00am - 12:00pm</t>
  </si>
  <si>
    <t>Heredia, L..</t>
  </si>
  <si>
    <t>Cynthia R.</t>
  </si>
  <si>
    <t>Jevas, K.</t>
  </si>
  <si>
    <t>Laura A.</t>
  </si>
  <si>
    <t>TBC</t>
  </si>
  <si>
    <t>Mon to Fri</t>
  </si>
  <si>
    <t>Irma B.</t>
  </si>
  <si>
    <t>Parwin S.</t>
  </si>
  <si>
    <t>M,W,Th, F,Sat</t>
  </si>
  <si>
    <t>M-Fri</t>
  </si>
  <si>
    <t>Tues , Wed</t>
  </si>
  <si>
    <t>Gabriela M.</t>
  </si>
  <si>
    <t>M, T, Th</t>
  </si>
  <si>
    <t>4:00pm-6:00pm</t>
  </si>
  <si>
    <t>Gabriela Musgrave</t>
  </si>
  <si>
    <t>Aiden S.</t>
  </si>
  <si>
    <t>Kapp, M.</t>
  </si>
  <si>
    <t>Kapp, H.</t>
  </si>
  <si>
    <t>Mon, Wed</t>
  </si>
  <si>
    <t>Moreno Cardenas, A.</t>
  </si>
  <si>
    <t>Sat, Sun</t>
  </si>
  <si>
    <t>Nathan S.</t>
  </si>
  <si>
    <t>Martinez , J.</t>
  </si>
  <si>
    <t>cancelled (hospice care)</t>
  </si>
  <si>
    <t>Joy, J.</t>
  </si>
  <si>
    <t xml:space="preserve">cancelled as per Keri </t>
  </si>
  <si>
    <t>Hae Jung S. HC</t>
  </si>
  <si>
    <t xml:space="preserve">Nathan Sanantonio </t>
  </si>
  <si>
    <t>Arviso, J.</t>
  </si>
  <si>
    <t>Wed, Thurs, Sat, Sun</t>
  </si>
  <si>
    <t>1:30pm - 3:30pm</t>
  </si>
  <si>
    <t>6:30pm - 8:30pm</t>
  </si>
  <si>
    <t>Sat, Sun, holidays</t>
  </si>
  <si>
    <t>T</t>
  </si>
  <si>
    <t xml:space="preserve">Martinez, M. </t>
  </si>
  <si>
    <t xml:space="preserve">HC cancelled </t>
  </si>
  <si>
    <t>Meyo, A.</t>
  </si>
  <si>
    <t>M &amp; Th</t>
  </si>
  <si>
    <t>Raney, R.</t>
  </si>
  <si>
    <t>Mary Ann H.</t>
  </si>
  <si>
    <t>Maria Garcia</t>
  </si>
  <si>
    <t>Issac Famurewa</t>
  </si>
  <si>
    <t>Thompson, L.</t>
  </si>
  <si>
    <t xml:space="preserve">M,W, Fri, </t>
  </si>
  <si>
    <t>10/01/205</t>
  </si>
  <si>
    <t>Witt, D.</t>
  </si>
  <si>
    <t>Holmes, E.</t>
  </si>
  <si>
    <t>extended pending auth</t>
  </si>
  <si>
    <t>discontinue per Mercy</t>
  </si>
  <si>
    <t>Delilah</t>
  </si>
  <si>
    <t xml:space="preserve">Juan Macias </t>
  </si>
  <si>
    <t>MTW</t>
  </si>
  <si>
    <t>M,T, W, Th</t>
  </si>
  <si>
    <t>F, Sat , sun</t>
  </si>
  <si>
    <t>7:30 am - 9:30am</t>
  </si>
  <si>
    <t>6:00 pm - 8:00pm</t>
  </si>
  <si>
    <t>Bartolomei, Keri &lt;kerib@fhcsd.org&gt;</t>
  </si>
  <si>
    <t xml:space="preserve">Bartolomei, Keri &lt;kerib@fhcsd.org&gt; </t>
  </si>
  <si>
    <t>M,W,F</t>
  </si>
  <si>
    <t>T, Th, Sat</t>
  </si>
  <si>
    <t>Tues and Thurs</t>
  </si>
  <si>
    <t>9:00am - 11:00am</t>
  </si>
  <si>
    <t>Roya</t>
  </si>
  <si>
    <t>Tues-Thur</t>
  </si>
  <si>
    <t>Werntz, D.</t>
  </si>
  <si>
    <t>Newport, L.</t>
  </si>
  <si>
    <t xml:space="preserve">Tues,Thur </t>
  </si>
  <si>
    <t>9am - 11am</t>
  </si>
  <si>
    <t>McAllister, S.</t>
  </si>
  <si>
    <t>Hannegan, C.</t>
  </si>
  <si>
    <t>1x visit only</t>
  </si>
  <si>
    <t xml:space="preserve">Seager, J. </t>
  </si>
  <si>
    <t>Gruber E.</t>
  </si>
  <si>
    <t>cancelled per Keri</t>
  </si>
  <si>
    <t>Diliberti M.</t>
  </si>
  <si>
    <t>email from Leah</t>
  </si>
  <si>
    <t>Tue, Fri</t>
  </si>
  <si>
    <t>disenrolled</t>
  </si>
  <si>
    <t>M-Sun</t>
  </si>
  <si>
    <t>7am - 9am</t>
  </si>
  <si>
    <t>Abigail Zuro</t>
  </si>
  <si>
    <t>cancelled per Vena</t>
  </si>
  <si>
    <t>Mon, Thurs, Sat</t>
  </si>
  <si>
    <t>Mon, Thur Fri</t>
  </si>
  <si>
    <t xml:space="preserve">Tue,Wed, Fri, Sat, Sun </t>
  </si>
  <si>
    <t>pending auth from 10/18/205 - 11/7/2025</t>
  </si>
  <si>
    <t>Tue - thurs</t>
  </si>
  <si>
    <t>waiting for Zhang</t>
  </si>
  <si>
    <t>requested Danielle to get 11/10 authorized</t>
  </si>
  <si>
    <t>waiting for auth from 10/17 - 11/5</t>
  </si>
  <si>
    <t xml:space="preserve">25987335	</t>
  </si>
  <si>
    <t>Appell, L.</t>
  </si>
  <si>
    <t>Mon&amp; Fri, Sat, Sun</t>
  </si>
  <si>
    <t>Sheperd, G.</t>
  </si>
  <si>
    <t>Swint, J.</t>
  </si>
  <si>
    <t>being visitied 2x week for 1 mo from 11/19, then will be 1x /week</t>
  </si>
  <si>
    <t>NEW</t>
  </si>
  <si>
    <t>Thurs &amp; Sat</t>
  </si>
  <si>
    <t>M, Tues &amp; Thurs</t>
  </si>
  <si>
    <t>Camarda, T.</t>
  </si>
  <si>
    <t>Flores, E.</t>
  </si>
  <si>
    <t>Sierra Brown</t>
  </si>
  <si>
    <t>Amanda Stanford</t>
  </si>
  <si>
    <t>Douglas Taylor</t>
  </si>
  <si>
    <t xml:space="preserve">Brenda Auble </t>
  </si>
  <si>
    <t>Natassjia Mitchell</t>
  </si>
  <si>
    <t>Analhi Chiunti</t>
  </si>
  <si>
    <t>11/28/205</t>
  </si>
  <si>
    <t>Martha Z.</t>
  </si>
  <si>
    <t xml:space="preserve"> 5xWeek</t>
  </si>
  <si>
    <t>Tuesday</t>
  </si>
  <si>
    <t>Analhi C.</t>
  </si>
  <si>
    <t>10am - 12pm</t>
  </si>
  <si>
    <t>Martha Zuniga Guerrero</t>
  </si>
  <si>
    <t xml:space="preserve">Irene Grepo </t>
  </si>
  <si>
    <t>Sierra C.</t>
  </si>
  <si>
    <t>EXPIRED</t>
  </si>
  <si>
    <t>Snyder, C.</t>
  </si>
  <si>
    <t>disenrolled as per Christina</t>
  </si>
  <si>
    <t>M, W, F</t>
  </si>
  <si>
    <t xml:space="preserve">Wed, Fri, Sat, </t>
  </si>
  <si>
    <t>Jackson, A.</t>
  </si>
  <si>
    <t>Rifqa A.</t>
  </si>
  <si>
    <t>Contact No. (619) 515-2445) extension</t>
  </si>
  <si>
    <t>Wright, L.</t>
  </si>
  <si>
    <t>4pm - 6 pm</t>
  </si>
  <si>
    <t>Cristina Cesarez</t>
  </si>
  <si>
    <t>11/22/205</t>
  </si>
  <si>
    <t>Joanna Smith</t>
  </si>
  <si>
    <t>Contreras, B.</t>
  </si>
  <si>
    <t>Arviso, J</t>
  </si>
  <si>
    <t>Bradbury, F (skilled)</t>
  </si>
  <si>
    <t>not extending per Mercy</t>
  </si>
  <si>
    <t>Not extending per PACE</t>
  </si>
  <si>
    <t>M,T, Th, Sat</t>
  </si>
  <si>
    <t>Sat and Sun auth also expiring on 12/31/25</t>
  </si>
  <si>
    <t>pending updated auth</t>
  </si>
  <si>
    <t>Sat-sun</t>
  </si>
  <si>
    <t>8am - 10am</t>
  </si>
  <si>
    <t>Bixby, R.</t>
  </si>
  <si>
    <t>20hrs per week</t>
  </si>
  <si>
    <t>M, W,F</t>
  </si>
  <si>
    <t>extended, pending updated auth with corrected expiration date</t>
  </si>
  <si>
    <t>pending DC date/plan from SNF</t>
  </si>
  <si>
    <t>paused/on hold</t>
  </si>
  <si>
    <t>Javier, H.</t>
  </si>
  <si>
    <t>Expired</t>
  </si>
  <si>
    <t>Extending, pending auth</t>
  </si>
  <si>
    <t>W,Th</t>
  </si>
  <si>
    <t>6xweek</t>
  </si>
  <si>
    <t>M, W,Th,F,Sat,Sun</t>
  </si>
  <si>
    <t>extending</t>
  </si>
  <si>
    <t>Mon -Fri</t>
  </si>
  <si>
    <t>Tue, Thurs,Fri,Sat,Sun</t>
  </si>
  <si>
    <t xml:space="preserve">Protestante, I. </t>
  </si>
  <si>
    <t>Lindborg, J.</t>
  </si>
  <si>
    <t>10:00 am -12:00 pm</t>
  </si>
  <si>
    <t>Tues, Wed, Fri, Sat, Sun</t>
  </si>
  <si>
    <t>extended, pending updated auth</t>
  </si>
  <si>
    <t xml:space="preserve">Lares, D. </t>
  </si>
  <si>
    <t>Lowery, R. (unskilled)</t>
  </si>
  <si>
    <t>Seager, J.</t>
  </si>
  <si>
    <t>Mon, Wed, Fri</t>
  </si>
  <si>
    <t>7xwek</t>
  </si>
  <si>
    <t xml:space="preserve">Daily </t>
  </si>
  <si>
    <t>extended, pending updated auth Weekends</t>
  </si>
  <si>
    <t>Tues &amp; Sat</t>
  </si>
  <si>
    <t>07/11/226</t>
  </si>
  <si>
    <t>Mon-Thu</t>
  </si>
  <si>
    <t xml:space="preserve">Halima </t>
  </si>
  <si>
    <t>Anders</t>
  </si>
  <si>
    <t>Tue-Thurs</t>
  </si>
  <si>
    <t>extended, auth is missing the exp date</t>
  </si>
  <si>
    <t xml:space="preserve">extended waiting for auth </t>
  </si>
  <si>
    <t xml:space="preserve">Hospitalized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</si>
</sst>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3"/>
      <color theme="3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theme="3"/>
      <name val="Calibri"/>
      <family val="2"/>
      <scheme val="minor"/>
    </font>
    <font>
      <b/>
      <i/>
      <sz val="13"/>
      <color theme="3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1"/>
      <color rgb="FF212529"/>
      <name val="Arial"/>
      <family val="2"/>
    </font>
    <font>
      <b/>
      <sz val="12"/>
      <color rgb="FF212529"/>
      <name val="Arial"/>
      <family val="2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242424"/>
      <name val="Inherit"/>
    </font>
    <font>
      <sz val="10"/>
      <color rgb="FF242424"/>
      <name val="Inherit"/>
    </font>
    <font>
      <i/>
      <sz val="11"/>
      <name val="Calibri"/>
      <family val="2"/>
      <scheme val="minor"/>
    </font>
    <font>
      <sz val="10"/>
      <color rgb="FF000000"/>
      <name val="Arial"/>
      <family val="2"/>
    </font>
    <font>
      <i/>
      <sz val="8"/>
      <name val="Calibri"/>
      <family val="2"/>
      <scheme val="minor"/>
    </font>
    <font>
      <sz val="8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8"/>
      <name val="Arial"/>
      <family val="2"/>
    </font>
    <font>
      <sz val="12"/>
      <color rgb="FF000000"/>
      <name val="Times New Roman"/>
      <family val="1"/>
    </font>
    <font>
      <b/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E9ECE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3" fillId="0" borderId="4" applyNumberFormat="0" applyFill="0" applyAlignment="0" applyProtection="0"/>
    <xf numFmtId="0" fontId="8" fillId="0" borderId="0" applyNumberFormat="0" applyFill="0" applyBorder="0" applyAlignment="0" applyProtection="0"/>
    <xf numFmtId="0" fontId="28" fillId="19" borderId="19" applyNumberFormat="0" applyAlignment="0" applyProtection="0"/>
  </cellStyleXfs>
  <cellXfs count="39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14" fontId="0" fillId="0" borderId="0" xfId="0" applyNumberFormat="1"/>
    <xf numFmtId="0" fontId="3" fillId="0" borderId="1" xfId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0" fontId="2" fillId="0" borderId="1" xfId="0" applyFont="1" applyBorder="1"/>
    <xf numFmtId="0" fontId="0" fillId="0" borderId="3" xfId="0" applyBorder="1"/>
    <xf numFmtId="0" fontId="3" fillId="0" borderId="10" xfId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8" fillId="0" borderId="1" xfId="2" applyFill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5" fillId="0" borderId="1" xfId="0" applyFont="1" applyBorder="1"/>
    <xf numFmtId="0" fontId="3" fillId="0" borderId="1" xfId="1" applyFill="1" applyBorder="1" applyAlignment="1">
      <alignment horizontal="center" vertical="center" wrapText="1"/>
    </xf>
    <xf numFmtId="0" fontId="3" fillId="0" borderId="1" xfId="1" applyFill="1" applyBorder="1" applyAlignment="1">
      <alignment horizontal="center" vertical="center"/>
    </xf>
    <xf numFmtId="0" fontId="3" fillId="0" borderId="1" xfId="1" applyFill="1" applyBorder="1" applyAlignment="1">
      <alignment horizontal="left" vertical="center"/>
    </xf>
    <xf numFmtId="0" fontId="3" fillId="0" borderId="1" xfId="1" applyFill="1" applyBorder="1" applyAlignment="1">
      <alignment horizontal="center" wrapText="1"/>
    </xf>
    <xf numFmtId="0" fontId="6" fillId="0" borderId="1" xfId="0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0" fontId="10" fillId="0" borderId="1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6" xfId="0" applyBorder="1" applyAlignment="1">
      <alignment horizontal="center"/>
    </xf>
    <xf numFmtId="14" fontId="2" fillId="0" borderId="5" xfId="0" applyNumberFormat="1" applyFont="1" applyBorder="1" applyAlignment="1">
      <alignment horizontal="center"/>
    </xf>
    <xf numFmtId="0" fontId="8" fillId="0" borderId="10" xfId="2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3" borderId="0" xfId="0" applyFill="1"/>
    <xf numFmtId="0" fontId="8" fillId="0" borderId="1" xfId="2" applyBorder="1"/>
    <xf numFmtId="0" fontId="1" fillId="0" borderId="1" xfId="0" applyFont="1" applyBorder="1"/>
    <xf numFmtId="0" fontId="8" fillId="0" borderId="0" xfId="2"/>
    <xf numFmtId="0" fontId="1" fillId="0" borderId="0" xfId="0" applyFont="1"/>
    <xf numFmtId="0" fontId="8" fillId="0" borderId="0" xfId="2" applyBorder="1"/>
    <xf numFmtId="14" fontId="2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4" fontId="11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6" xfId="0" applyBorder="1"/>
    <xf numFmtId="0" fontId="0" fillId="0" borderId="5" xfId="0" applyBorder="1" applyAlignment="1">
      <alignment horizontal="center"/>
    </xf>
    <xf numFmtId="0" fontId="2" fillId="0" borderId="5" xfId="0" applyFont="1" applyBorder="1"/>
    <xf numFmtId="14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/>
    <xf numFmtId="0" fontId="0" fillId="0" borderId="2" xfId="0" applyBorder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5" fillId="0" borderId="0" xfId="0" applyFont="1"/>
    <xf numFmtId="0" fontId="0" fillId="0" borderId="5" xfId="0" applyBorder="1" applyAlignment="1">
      <alignment horizontal="left"/>
    </xf>
    <xf numFmtId="14" fontId="0" fillId="0" borderId="5" xfId="0" applyNumberFormat="1" applyBorder="1" applyAlignment="1">
      <alignment horizontal="center"/>
    </xf>
    <xf numFmtId="0" fontId="2" fillId="0" borderId="5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14" fontId="2" fillId="0" borderId="8" xfId="0" applyNumberFormat="1" applyFont="1" applyBorder="1" applyAlignment="1">
      <alignment horizontal="center"/>
    </xf>
    <xf numFmtId="14" fontId="11" fillId="0" borderId="8" xfId="0" applyNumberFormat="1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5" fillId="0" borderId="7" xfId="0" applyFont="1" applyBorder="1"/>
    <xf numFmtId="0" fontId="15" fillId="0" borderId="0" xfId="0" applyFont="1"/>
    <xf numFmtId="0" fontId="16" fillId="7" borderId="13" xfId="0" applyFont="1" applyFill="1" applyBorder="1" applyAlignment="1">
      <alignment horizontal="center" vertical="center" wrapText="1"/>
    </xf>
    <xf numFmtId="16" fontId="15" fillId="3" borderId="13" xfId="0" applyNumberFormat="1" applyFont="1" applyFill="1" applyBorder="1" applyAlignment="1">
      <alignment horizontal="left" vertical="center" wrapText="1" indent="1"/>
    </xf>
    <xf numFmtId="0" fontId="15" fillId="3" borderId="13" xfId="0" applyFont="1" applyFill="1" applyBorder="1" applyAlignment="1">
      <alignment horizontal="left" vertical="center" wrapText="1" indent="1"/>
    </xf>
    <xf numFmtId="0" fontId="8" fillId="3" borderId="13" xfId="2" applyFill="1" applyBorder="1" applyAlignment="1">
      <alignment horizontal="left" vertical="center" wrapText="1" indent="1"/>
    </xf>
    <xf numFmtId="0" fontId="20" fillId="9" borderId="1" xfId="0" applyFont="1" applyFill="1" applyBorder="1" applyAlignment="1">
      <alignment vertical="center" wrapText="1"/>
    </xf>
    <xf numFmtId="14" fontId="18" fillId="8" borderId="0" xfId="0" applyNumberFormat="1" applyFont="1" applyFill="1" applyAlignment="1">
      <alignment horizontal="center"/>
    </xf>
    <xf numFmtId="0" fontId="3" fillId="0" borderId="0" xfId="1" applyFill="1" applyBorder="1" applyAlignment="1">
      <alignment horizontal="center" vertical="center" wrapText="1"/>
    </xf>
    <xf numFmtId="0" fontId="3" fillId="0" borderId="0" xfId="1" applyFill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0" fontId="3" fillId="3" borderId="1" xfId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/>
    </xf>
    <xf numFmtId="0" fontId="17" fillId="0" borderId="0" xfId="0" applyFont="1"/>
    <xf numFmtId="0" fontId="20" fillId="0" borderId="1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4" fillId="0" borderId="0" xfId="0" applyFont="1" applyAlignment="1">
      <alignment horizontal="right"/>
    </xf>
    <xf numFmtId="0" fontId="5" fillId="0" borderId="10" xfId="0" applyFont="1" applyBorder="1" applyAlignment="1">
      <alignment horizontal="center"/>
    </xf>
    <xf numFmtId="0" fontId="19" fillId="0" borderId="10" xfId="2" applyFont="1" applyFill="1" applyBorder="1" applyAlignment="1">
      <alignment horizontal="center"/>
    </xf>
    <xf numFmtId="14" fontId="5" fillId="0" borderId="1" xfId="0" applyNumberFormat="1" applyFont="1" applyBorder="1" applyAlignment="1">
      <alignment horizontal="center"/>
    </xf>
    <xf numFmtId="0" fontId="3" fillId="10" borderId="1" xfId="1" applyFill="1" applyBorder="1" applyAlignment="1">
      <alignment horizontal="left" vertical="center" wrapText="1"/>
    </xf>
    <xf numFmtId="0" fontId="9" fillId="0" borderId="1" xfId="1" applyFont="1" applyFill="1" applyBorder="1" applyAlignment="1">
      <alignment horizontal="center" wrapText="1"/>
    </xf>
    <xf numFmtId="0" fontId="5" fillId="0" borderId="6" xfId="0" applyFont="1" applyBorder="1"/>
    <xf numFmtId="0" fontId="5" fillId="0" borderId="1" xfId="0" applyFont="1" applyBorder="1" applyAlignment="1">
      <alignment horizontal="center"/>
    </xf>
    <xf numFmtId="0" fontId="20" fillId="8" borderId="1" xfId="0" applyFont="1" applyFill="1" applyBorder="1" applyAlignment="1">
      <alignment vertical="center" wrapText="1"/>
    </xf>
    <xf numFmtId="0" fontId="20" fillId="11" borderId="1" xfId="0" applyFont="1" applyFill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12" borderId="1" xfId="0" applyFont="1" applyFill="1" applyBorder="1" applyAlignment="1">
      <alignment vertical="center" wrapText="1"/>
    </xf>
    <xf numFmtId="0" fontId="20" fillId="13" borderId="1" xfId="0" applyFont="1" applyFill="1" applyBorder="1" applyAlignment="1">
      <alignment vertical="center" wrapText="1"/>
    </xf>
    <xf numFmtId="14" fontId="13" fillId="0" borderId="2" xfId="0" applyNumberFormat="1" applyFont="1" applyBorder="1" applyAlignment="1">
      <alignment horizontal="center"/>
    </xf>
    <xf numFmtId="0" fontId="0" fillId="3" borderId="1" xfId="0" applyFill="1" applyBorder="1"/>
    <xf numFmtId="0" fontId="16" fillId="7" borderId="14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vertical="center" wrapText="1"/>
    </xf>
    <xf numFmtId="0" fontId="20" fillId="14" borderId="1" xfId="0" applyFont="1" applyFill="1" applyBorder="1" applyAlignment="1">
      <alignment vertical="center" wrapText="1"/>
    </xf>
    <xf numFmtId="0" fontId="0" fillId="15" borderId="1" xfId="0" applyFill="1" applyBorder="1"/>
    <xf numFmtId="0" fontId="20" fillId="16" borderId="1" xfId="0" applyFont="1" applyFill="1" applyBorder="1" applyAlignment="1">
      <alignment vertical="center" wrapText="1"/>
    </xf>
    <xf numFmtId="0" fontId="20" fillId="16" borderId="3" xfId="0" applyFont="1" applyFill="1" applyBorder="1" applyAlignment="1">
      <alignment vertical="center" wrapText="1"/>
    </xf>
    <xf numFmtId="0" fontId="20" fillId="3" borderId="3" xfId="0" applyFont="1" applyFill="1" applyBorder="1" applyAlignment="1">
      <alignment vertical="center" wrapText="1"/>
    </xf>
    <xf numFmtId="0" fontId="26" fillId="9" borderId="15" xfId="0" applyFont="1" applyFill="1" applyBorder="1" applyAlignment="1">
      <alignment horizontal="center" vertical="center" wrapText="1"/>
    </xf>
    <xf numFmtId="0" fontId="26" fillId="9" borderId="16" xfId="0" applyFont="1" applyFill="1" applyBorder="1" applyAlignment="1">
      <alignment horizontal="center" vertical="center" wrapText="1"/>
    </xf>
    <xf numFmtId="0" fontId="23" fillId="9" borderId="17" xfId="0" applyFont="1" applyFill="1" applyBorder="1" applyAlignment="1">
      <alignment vertical="center" wrapText="1"/>
    </xf>
    <xf numFmtId="0" fontId="23" fillId="9" borderId="18" xfId="0" applyFont="1" applyFill="1" applyBorder="1" applyAlignment="1">
      <alignment vertical="center" wrapText="1"/>
    </xf>
    <xf numFmtId="14" fontId="23" fillId="9" borderId="18" xfId="0" applyNumberFormat="1" applyFont="1" applyFill="1" applyBorder="1" applyAlignment="1">
      <alignment horizontal="right" vertical="center" wrapText="1"/>
    </xf>
    <xf numFmtId="0" fontId="23" fillId="13" borderId="17" xfId="0" applyFont="1" applyFill="1" applyBorder="1" applyAlignment="1">
      <alignment vertical="center" wrapText="1"/>
    </xf>
    <xf numFmtId="0" fontId="23" fillId="13" borderId="18" xfId="0" applyFont="1" applyFill="1" applyBorder="1" applyAlignment="1">
      <alignment vertical="center" wrapText="1"/>
    </xf>
    <xf numFmtId="14" fontId="23" fillId="13" borderId="18" xfId="0" applyNumberFormat="1" applyFont="1" applyFill="1" applyBorder="1" applyAlignment="1">
      <alignment horizontal="right" vertical="center" wrapText="1"/>
    </xf>
    <xf numFmtId="0" fontId="0" fillId="13" borderId="0" xfId="0" applyFill="1"/>
    <xf numFmtId="14" fontId="27" fillId="0" borderId="2" xfId="0" applyNumberFormat="1" applyFont="1" applyBorder="1" applyAlignment="1">
      <alignment horizontal="center"/>
    </xf>
    <xf numFmtId="0" fontId="0" fillId="17" borderId="1" xfId="0" applyFill="1" applyBorder="1"/>
    <xf numFmtId="0" fontId="0" fillId="17" borderId="1" xfId="0" applyFill="1" applyBorder="1" applyAlignment="1">
      <alignment horizontal="center"/>
    </xf>
    <xf numFmtId="0" fontId="0" fillId="17" borderId="1" xfId="0" applyFill="1" applyBorder="1" applyAlignment="1">
      <alignment horizontal="left"/>
    </xf>
    <xf numFmtId="14" fontId="11" fillId="17" borderId="1" xfId="0" applyNumberFormat="1" applyFont="1" applyFill="1" applyBorder="1" applyAlignment="1">
      <alignment horizontal="center"/>
    </xf>
    <xf numFmtId="0" fontId="0" fillId="17" borderId="0" xfId="0" applyFill="1"/>
    <xf numFmtId="0" fontId="2" fillId="17" borderId="1" xfId="0" applyFont="1" applyFill="1" applyBorder="1" applyAlignment="1">
      <alignment horizontal="center"/>
    </xf>
    <xf numFmtId="14" fontId="2" fillId="17" borderId="1" xfId="0" applyNumberFormat="1" applyFont="1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0" fillId="18" borderId="1" xfId="0" applyFill="1" applyBorder="1" applyAlignment="1">
      <alignment horizontal="center" wrapText="1"/>
    </xf>
    <xf numFmtId="49" fontId="0" fillId="0" borderId="1" xfId="0" applyNumberFormat="1" applyBorder="1"/>
    <xf numFmtId="14" fontId="18" fillId="8" borderId="6" xfId="0" applyNumberFormat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49" fontId="0" fillId="12" borderId="1" xfId="0" applyNumberFormat="1" applyFill="1" applyBorder="1"/>
    <xf numFmtId="49" fontId="0" fillId="12" borderId="0" xfId="0" applyNumberFormat="1" applyFill="1"/>
    <xf numFmtId="0" fontId="0" fillId="2" borderId="0" xfId="0" applyFill="1"/>
    <xf numFmtId="0" fontId="0" fillId="4" borderId="0" xfId="0" applyFill="1"/>
    <xf numFmtId="14" fontId="0" fillId="4" borderId="0" xfId="0" applyNumberFormat="1" applyFill="1" applyAlignment="1">
      <alignment horizontal="center"/>
    </xf>
    <xf numFmtId="0" fontId="0" fillId="6" borderId="0" xfId="0" applyFill="1"/>
    <xf numFmtId="0" fontId="12" fillId="5" borderId="0" xfId="0" applyFont="1" applyFill="1" applyAlignment="1">
      <alignment horizontal="left"/>
    </xf>
    <xf numFmtId="0" fontId="17" fillId="8" borderId="0" xfId="0" applyFont="1" applyFill="1"/>
    <xf numFmtId="14" fontId="17" fillId="8" borderId="0" xfId="0" applyNumberFormat="1" applyFont="1" applyFill="1" applyAlignment="1">
      <alignment horizontal="center"/>
    </xf>
    <xf numFmtId="14" fontId="0" fillId="0" borderId="0" xfId="0" applyNumberFormat="1" applyAlignment="1">
      <alignment horizontal="left"/>
    </xf>
    <xf numFmtId="16" fontId="0" fillId="0" borderId="0" xfId="0" applyNumberFormat="1" applyAlignment="1">
      <alignment horizontal="center"/>
    </xf>
    <xf numFmtId="14" fontId="17" fillId="0" borderId="0" xfId="0" applyNumberFormat="1" applyFont="1" applyAlignment="1">
      <alignment horizontal="center"/>
    </xf>
    <xf numFmtId="14" fontId="4" fillId="0" borderId="0" xfId="0" applyNumberFormat="1" applyFont="1" applyAlignment="1">
      <alignment horizontal="center"/>
    </xf>
    <xf numFmtId="0" fontId="0" fillId="0" borderId="1" xfId="0" applyBorder="1" applyAlignment="1">
      <alignment horizontal="center" wrapText="1"/>
    </xf>
    <xf numFmtId="0" fontId="0" fillId="3" borderId="1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6" xfId="0" applyFill="1" applyBorder="1"/>
    <xf numFmtId="14" fontId="5" fillId="0" borderId="8" xfId="0" applyNumberFormat="1" applyFont="1" applyBorder="1" applyAlignment="1">
      <alignment horizontal="center"/>
    </xf>
    <xf numFmtId="0" fontId="0" fillId="20" borderId="1" xfId="0" applyFill="1" applyBorder="1"/>
    <xf numFmtId="0" fontId="0" fillId="20" borderId="1" xfId="0" applyFill="1" applyBorder="1" applyAlignment="1">
      <alignment horizontal="center"/>
    </xf>
    <xf numFmtId="0" fontId="0" fillId="17" borderId="2" xfId="0" applyFill="1" applyBorder="1"/>
    <xf numFmtId="0" fontId="0" fillId="17" borderId="2" xfId="0" applyFill="1" applyBorder="1" applyAlignment="1">
      <alignment horizontal="center"/>
    </xf>
    <xf numFmtId="0" fontId="0" fillId="17" borderId="2" xfId="0" applyFill="1" applyBorder="1" applyAlignment="1">
      <alignment horizontal="left"/>
    </xf>
    <xf numFmtId="0" fontId="2" fillId="17" borderId="2" xfId="0" applyFont="1" applyFill="1" applyBorder="1" applyAlignment="1">
      <alignment horizontal="center"/>
    </xf>
    <xf numFmtId="14" fontId="2" fillId="17" borderId="2" xfId="0" applyNumberFormat="1" applyFont="1" applyFill="1" applyBorder="1" applyAlignment="1">
      <alignment horizontal="center"/>
    </xf>
    <xf numFmtId="14" fontId="11" fillId="17" borderId="2" xfId="0" applyNumberFormat="1" applyFont="1" applyFill="1" applyBorder="1" applyAlignment="1">
      <alignment horizontal="center"/>
    </xf>
    <xf numFmtId="14" fontId="11" fillId="0" borderId="0" xfId="0" applyNumberFormat="1" applyFont="1" applyAlignment="1">
      <alignment horizontal="center"/>
    </xf>
    <xf numFmtId="0" fontId="2" fillId="17" borderId="1" xfId="0" applyFont="1" applyFill="1" applyBorder="1" applyAlignment="1">
      <alignment horizontal="left"/>
    </xf>
    <xf numFmtId="14" fontId="0" fillId="17" borderId="1" xfId="0" applyNumberFormat="1" applyFill="1" applyBorder="1" applyAlignment="1">
      <alignment horizontal="center"/>
    </xf>
    <xf numFmtId="0" fontId="0" fillId="17" borderId="10" xfId="0" applyFill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3" fillId="3" borderId="1" xfId="1" applyFill="1" applyBorder="1" applyAlignment="1">
      <alignment horizontal="left" vertical="center" wrapText="1"/>
    </xf>
    <xf numFmtId="16" fontId="0" fillId="0" borderId="3" xfId="0" applyNumberFormat="1" applyBorder="1" applyAlignment="1">
      <alignment horizontal="left"/>
    </xf>
    <xf numFmtId="0" fontId="0" fillId="21" borderId="1" xfId="0" applyFill="1" applyBorder="1"/>
    <xf numFmtId="0" fontId="0" fillId="21" borderId="1" xfId="0" applyFill="1" applyBorder="1" applyAlignment="1">
      <alignment horizontal="center"/>
    </xf>
    <xf numFmtId="0" fontId="0" fillId="13" borderId="1" xfId="0" applyFill="1" applyBorder="1"/>
    <xf numFmtId="0" fontId="0" fillId="13" borderId="1" xfId="0" applyFill="1" applyBorder="1" applyAlignment="1">
      <alignment horizontal="center"/>
    </xf>
    <xf numFmtId="0" fontId="30" fillId="0" borderId="0" xfId="0" applyFont="1" applyAlignment="1">
      <alignment vertical="center" wrapText="1"/>
    </xf>
    <xf numFmtId="0" fontId="30" fillId="0" borderId="0" xfId="0" applyFont="1"/>
    <xf numFmtId="0" fontId="0" fillId="11" borderId="1" xfId="0" applyFill="1" applyBorder="1"/>
    <xf numFmtId="0" fontId="0" fillId="22" borderId="1" xfId="0" applyFill="1" applyBorder="1"/>
    <xf numFmtId="0" fontId="1" fillId="12" borderId="1" xfId="0" applyFont="1" applyFill="1" applyBorder="1"/>
    <xf numFmtId="0" fontId="1" fillId="12" borderId="1" xfId="0" applyFont="1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" xfId="0" applyFill="1" applyBorder="1" applyAlignment="1">
      <alignment horizontal="left"/>
    </xf>
    <xf numFmtId="0" fontId="0" fillId="22" borderId="1" xfId="0" applyFill="1" applyBorder="1" applyAlignment="1">
      <alignment horizontal="center"/>
    </xf>
    <xf numFmtId="0" fontId="0" fillId="22" borderId="1" xfId="0" applyFill="1" applyBorder="1" applyAlignment="1">
      <alignment horizontal="left"/>
    </xf>
    <xf numFmtId="0" fontId="14" fillId="13" borderId="1" xfId="0" applyFont="1" applyFill="1" applyBorder="1"/>
    <xf numFmtId="0" fontId="0" fillId="23" borderId="1" xfId="0" applyFill="1" applyBorder="1"/>
    <xf numFmtId="0" fontId="0" fillId="23" borderId="1" xfId="0" applyFill="1" applyBorder="1" applyAlignment="1">
      <alignment horizontal="center"/>
    </xf>
    <xf numFmtId="14" fontId="0" fillId="13" borderId="5" xfId="0" applyNumberFormat="1" applyFill="1" applyBorder="1" applyAlignment="1">
      <alignment horizontal="center"/>
    </xf>
    <xf numFmtId="16" fontId="0" fillId="24" borderId="1" xfId="0" applyNumberFormat="1" applyFill="1" applyBorder="1" applyAlignment="1">
      <alignment horizontal="left"/>
    </xf>
    <xf numFmtId="14" fontId="0" fillId="24" borderId="1" xfId="0" applyNumberFormat="1" applyFill="1" applyBorder="1" applyAlignment="1">
      <alignment horizontal="center"/>
    </xf>
    <xf numFmtId="14" fontId="0" fillId="24" borderId="5" xfId="0" applyNumberFormat="1" applyFill="1" applyBorder="1" applyAlignment="1">
      <alignment horizontal="center"/>
    </xf>
    <xf numFmtId="14" fontId="0" fillId="25" borderId="5" xfId="0" applyNumberFormat="1" applyFill="1" applyBorder="1" applyAlignment="1">
      <alignment horizontal="center"/>
    </xf>
    <xf numFmtId="14" fontId="0" fillId="25" borderId="7" xfId="0" applyNumberFormat="1" applyFill="1" applyBorder="1" applyAlignment="1">
      <alignment horizontal="center"/>
    </xf>
    <xf numFmtId="16" fontId="0" fillId="0" borderId="2" xfId="0" applyNumberFormat="1" applyBorder="1" applyAlignment="1">
      <alignment horizontal="left"/>
    </xf>
    <xf numFmtId="16" fontId="0" fillId="25" borderId="5" xfId="0" applyNumberFormat="1" applyFill="1" applyBorder="1" applyAlignment="1">
      <alignment horizontal="left"/>
    </xf>
    <xf numFmtId="16" fontId="0" fillId="25" borderId="2" xfId="0" applyNumberFormat="1" applyFill="1" applyBorder="1" applyAlignment="1">
      <alignment horizontal="left"/>
    </xf>
    <xf numFmtId="16" fontId="0" fillId="25" borderId="3" xfId="0" applyNumberFormat="1" applyFill="1" applyBorder="1" applyAlignment="1">
      <alignment horizontal="left"/>
    </xf>
    <xf numFmtId="16" fontId="0" fillId="12" borderId="1" xfId="0" applyNumberFormat="1" applyFill="1" applyBorder="1" applyAlignment="1">
      <alignment horizontal="left"/>
    </xf>
    <xf numFmtId="14" fontId="0" fillId="12" borderId="1" xfId="0" applyNumberFormat="1" applyFill="1" applyBorder="1" applyAlignment="1">
      <alignment horizontal="center"/>
    </xf>
    <xf numFmtId="14" fontId="0" fillId="26" borderId="1" xfId="0" applyNumberFormat="1" applyFill="1" applyBorder="1" applyAlignment="1">
      <alignment horizontal="center"/>
    </xf>
    <xf numFmtId="14" fontId="0" fillId="23" borderId="1" xfId="0" applyNumberFormat="1" applyFill="1" applyBorder="1" applyAlignment="1">
      <alignment horizontal="center"/>
    </xf>
    <xf numFmtId="14" fontId="2" fillId="13" borderId="7" xfId="0" applyNumberFormat="1" applyFont="1" applyFill="1" applyBorder="1" applyAlignment="1">
      <alignment horizontal="center"/>
    </xf>
    <xf numFmtId="16" fontId="0" fillId="13" borderId="2" xfId="0" applyNumberFormat="1" applyFill="1" applyBorder="1" applyAlignment="1">
      <alignment horizontal="left"/>
    </xf>
    <xf numFmtId="16" fontId="0" fillId="13" borderId="5" xfId="0" applyNumberFormat="1" applyFill="1" applyBorder="1" applyAlignment="1">
      <alignment horizontal="left"/>
    </xf>
    <xf numFmtId="14" fontId="0" fillId="26" borderId="6" xfId="0" applyNumberFormat="1" applyFill="1" applyBorder="1" applyAlignment="1">
      <alignment horizontal="center"/>
    </xf>
    <xf numFmtId="16" fontId="0" fillId="26" borderId="2" xfId="0" applyNumberFormat="1" applyFill="1" applyBorder="1" applyAlignment="1">
      <alignment horizontal="left"/>
    </xf>
    <xf numFmtId="16" fontId="0" fillId="26" borderId="5" xfId="0" applyNumberFormat="1" applyFill="1" applyBorder="1" applyAlignment="1">
      <alignment horizontal="left"/>
    </xf>
    <xf numFmtId="14" fontId="2" fillId="23" borderId="6" xfId="0" applyNumberFormat="1" applyFont="1" applyFill="1" applyBorder="1" applyAlignment="1">
      <alignment horizontal="center"/>
    </xf>
    <xf numFmtId="16" fontId="0" fillId="23" borderId="2" xfId="0" applyNumberFormat="1" applyFill="1" applyBorder="1" applyAlignment="1">
      <alignment horizontal="left"/>
    </xf>
    <xf numFmtId="0" fontId="0" fillId="23" borderId="5" xfId="0" applyFill="1" applyBorder="1" applyAlignment="1">
      <alignment horizontal="left"/>
    </xf>
    <xf numFmtId="0" fontId="0" fillId="24" borderId="1" xfId="0" applyFill="1" applyBorder="1"/>
    <xf numFmtId="49" fontId="0" fillId="24" borderId="1" xfId="0" applyNumberFormat="1" applyFill="1" applyBorder="1"/>
    <xf numFmtId="49" fontId="4" fillId="12" borderId="1" xfId="0" applyNumberFormat="1" applyFont="1" applyFill="1" applyBorder="1"/>
    <xf numFmtId="0" fontId="0" fillId="24" borderId="0" xfId="0" applyFill="1"/>
    <xf numFmtId="0" fontId="0" fillId="0" borderId="12" xfId="0" applyBorder="1"/>
    <xf numFmtId="0" fontId="0" fillId="0" borderId="10" xfId="0" applyBorder="1"/>
    <xf numFmtId="0" fontId="0" fillId="17" borderId="10" xfId="0" applyFill="1" applyBorder="1"/>
    <xf numFmtId="0" fontId="4" fillId="0" borderId="6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14" fontId="5" fillId="0" borderId="0" xfId="0" applyNumberFormat="1" applyFont="1" applyAlignment="1">
      <alignment horizontal="center"/>
    </xf>
    <xf numFmtId="0" fontId="3" fillId="0" borderId="1" xfId="1" applyBorder="1" applyAlignment="1">
      <alignment horizontal="left" wrapText="1"/>
    </xf>
    <xf numFmtId="18" fontId="0" fillId="17" borderId="1" xfId="0" applyNumberFormat="1" applyFill="1" applyBorder="1" applyAlignment="1">
      <alignment horizontal="left"/>
    </xf>
    <xf numFmtId="0" fontId="14" fillId="17" borderId="1" xfId="0" applyFont="1" applyFill="1" applyBorder="1" applyAlignment="1">
      <alignment horizontal="center"/>
    </xf>
    <xf numFmtId="14" fontId="0" fillId="4" borderId="1" xfId="0" applyNumberFormat="1" applyFill="1" applyBorder="1" applyAlignment="1">
      <alignment horizontal="center"/>
    </xf>
    <xf numFmtId="0" fontId="0" fillId="4" borderId="1" xfId="0" applyFill="1" applyBorder="1"/>
    <xf numFmtId="0" fontId="0" fillId="0" borderId="11" xfId="0" applyBorder="1"/>
    <xf numFmtId="14" fontId="11" fillId="0" borderId="2" xfId="0" applyNumberFormat="1" applyFont="1" applyBorder="1" applyAlignment="1">
      <alignment horizontal="center"/>
    </xf>
    <xf numFmtId="14" fontId="11" fillId="0" borderId="10" xfId="0" applyNumberFormat="1" applyFont="1" applyBorder="1" applyAlignment="1">
      <alignment horizontal="center"/>
    </xf>
    <xf numFmtId="0" fontId="0" fillId="0" borderId="9" xfId="0" applyBorder="1" applyAlignment="1">
      <alignment horizontal="center"/>
    </xf>
    <xf numFmtId="18" fontId="0" fillId="0" borderId="1" xfId="0" applyNumberFormat="1" applyBorder="1" applyAlignment="1">
      <alignment horizontal="left"/>
    </xf>
    <xf numFmtId="0" fontId="0" fillId="17" borderId="5" xfId="0" applyFill="1" applyBorder="1"/>
    <xf numFmtId="0" fontId="0" fillId="17" borderId="5" xfId="0" applyFill="1" applyBorder="1" applyAlignment="1">
      <alignment horizontal="center"/>
    </xf>
    <xf numFmtId="0" fontId="0" fillId="17" borderId="5" xfId="0" applyFill="1" applyBorder="1" applyAlignment="1">
      <alignment horizontal="left"/>
    </xf>
    <xf numFmtId="0" fontId="5" fillId="0" borderId="5" xfId="0" applyFont="1" applyBorder="1"/>
    <xf numFmtId="0" fontId="13" fillId="17" borderId="5" xfId="0" applyFont="1" applyFill="1" applyBorder="1" applyAlignment="1">
      <alignment horizontal="center"/>
    </xf>
    <xf numFmtId="14" fontId="0" fillId="17" borderId="10" xfId="0" applyNumberForma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49" fontId="0" fillId="24" borderId="3" xfId="0" applyNumberFormat="1" applyFill="1" applyBorder="1"/>
    <xf numFmtId="0" fontId="0" fillId="4" borderId="6" xfId="0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5" fillId="0" borderId="5" xfId="0" applyFont="1" applyBorder="1" applyAlignment="1">
      <alignment horizontal="center"/>
    </xf>
    <xf numFmtId="0" fontId="22" fillId="0" borderId="8" xfId="0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1" fillId="0" borderId="1" xfId="0" applyFont="1" applyBorder="1" applyAlignment="1">
      <alignment horizontal="center" vertical="center" wrapText="1"/>
    </xf>
    <xf numFmtId="0" fontId="8" fillId="20" borderId="1" xfId="2" applyFill="1" applyBorder="1" applyAlignment="1">
      <alignment horizontal="center"/>
    </xf>
    <xf numFmtId="0" fontId="0" fillId="20" borderId="0" xfId="0" applyFill="1"/>
    <xf numFmtId="0" fontId="8" fillId="17" borderId="1" xfId="2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7" xfId="0" applyBorder="1" applyAlignment="1">
      <alignment horizontal="center"/>
    </xf>
    <xf numFmtId="14" fontId="28" fillId="0" borderId="19" xfId="3" applyNumberFormat="1" applyFill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17" borderId="5" xfId="0" applyFont="1" applyFill="1" applyBorder="1"/>
    <xf numFmtId="14" fontId="0" fillId="17" borderId="8" xfId="0" applyNumberFormat="1" applyFill="1" applyBorder="1" applyAlignment="1">
      <alignment horizontal="center"/>
    </xf>
    <xf numFmtId="0" fontId="0" fillId="17" borderId="8" xfId="0" applyFill="1" applyBorder="1" applyAlignment="1">
      <alignment horizontal="center"/>
    </xf>
    <xf numFmtId="0" fontId="5" fillId="17" borderId="1" xfId="0" applyFont="1" applyFill="1" applyBorder="1" applyAlignment="1">
      <alignment horizontal="center"/>
    </xf>
    <xf numFmtId="0" fontId="8" fillId="17" borderId="10" xfId="2" applyFill="1" applyBorder="1" applyAlignment="1">
      <alignment horizontal="center"/>
    </xf>
    <xf numFmtId="0" fontId="0" fillId="17" borderId="6" xfId="0" applyFill="1" applyBorder="1"/>
    <xf numFmtId="0" fontId="5" fillId="0" borderId="5" xfId="0" applyFont="1" applyBorder="1" applyAlignment="1">
      <alignment horizontal="left"/>
    </xf>
    <xf numFmtId="14" fontId="0" fillId="0" borderId="2" xfId="0" applyNumberFormat="1" applyBorder="1" applyAlignment="1">
      <alignment horizontal="center"/>
    </xf>
    <xf numFmtId="14" fontId="5" fillId="0" borderId="5" xfId="0" applyNumberFormat="1" applyFont="1" applyBorder="1" applyAlignment="1">
      <alignment horizontal="center"/>
    </xf>
    <xf numFmtId="0" fontId="2" fillId="17" borderId="1" xfId="0" applyFont="1" applyFill="1" applyBorder="1"/>
    <xf numFmtId="0" fontId="4" fillId="17" borderId="1" xfId="0" applyFont="1" applyFill="1" applyBorder="1" applyAlignment="1">
      <alignment horizontal="center"/>
    </xf>
    <xf numFmtId="0" fontId="5" fillId="17" borderId="10" xfId="0" applyFont="1" applyFill="1" applyBorder="1" applyAlignment="1">
      <alignment horizontal="center"/>
    </xf>
    <xf numFmtId="0" fontId="19" fillId="17" borderId="10" xfId="2" applyFont="1" applyFill="1" applyBorder="1" applyAlignment="1">
      <alignment horizontal="center"/>
    </xf>
    <xf numFmtId="0" fontId="0" fillId="20" borderId="5" xfId="0" applyFill="1" applyBorder="1" applyAlignment="1">
      <alignment horizontal="center"/>
    </xf>
    <xf numFmtId="0" fontId="0" fillId="20" borderId="10" xfId="0" applyFill="1" applyBorder="1" applyAlignment="1">
      <alignment horizontal="center"/>
    </xf>
    <xf numFmtId="0" fontId="0" fillId="20" borderId="1" xfId="0" applyFill="1" applyBorder="1" applyAlignment="1">
      <alignment horizontal="left"/>
    </xf>
    <xf numFmtId="0" fontId="0" fillId="20" borderId="6" xfId="0" applyFill="1" applyBorder="1"/>
    <xf numFmtId="14" fontId="0" fillId="20" borderId="8" xfId="0" applyNumberFormat="1" applyFill="1" applyBorder="1" applyAlignment="1">
      <alignment horizontal="center"/>
    </xf>
    <xf numFmtId="49" fontId="0" fillId="0" borderId="0" xfId="0" applyNumberFormat="1"/>
    <xf numFmtId="0" fontId="0" fillId="21" borderId="2" xfId="0" applyFill="1" applyBorder="1" applyAlignment="1">
      <alignment horizontal="center"/>
    </xf>
    <xf numFmtId="0" fontId="2" fillId="21" borderId="2" xfId="0" applyFont="1" applyFill="1" applyBorder="1" applyAlignment="1">
      <alignment horizontal="center"/>
    </xf>
    <xf numFmtId="0" fontId="2" fillId="21" borderId="1" xfId="0" applyFont="1" applyFill="1" applyBorder="1" applyAlignment="1">
      <alignment horizontal="center"/>
    </xf>
    <xf numFmtId="14" fontId="2" fillId="21" borderId="1" xfId="0" applyNumberFormat="1" applyFont="1" applyFill="1" applyBorder="1" applyAlignment="1">
      <alignment horizontal="center"/>
    </xf>
    <xf numFmtId="14" fontId="0" fillId="21" borderId="1" xfId="0" applyNumberFormat="1" applyFill="1" applyBorder="1" applyAlignment="1">
      <alignment horizontal="center"/>
    </xf>
    <xf numFmtId="0" fontId="0" fillId="21" borderId="10" xfId="0" applyFill="1" applyBorder="1" applyAlignment="1">
      <alignment horizontal="center"/>
    </xf>
    <xf numFmtId="0" fontId="8" fillId="21" borderId="10" xfId="2" applyFill="1" applyBorder="1" applyAlignment="1">
      <alignment horizontal="center"/>
    </xf>
    <xf numFmtId="0" fontId="0" fillId="21" borderId="0" xfId="0" applyFill="1"/>
    <xf numFmtId="0" fontId="17" fillId="0" borderId="1" xfId="0" applyFont="1" applyBorder="1" applyAlignment="1">
      <alignment horizontal="center"/>
    </xf>
    <xf numFmtId="0" fontId="0" fillId="20" borderId="5" xfId="0" applyFill="1" applyBorder="1"/>
    <xf numFmtId="14" fontId="0" fillId="20" borderId="5" xfId="0" applyNumberFormat="1" applyFill="1" applyBorder="1" applyAlignment="1">
      <alignment horizontal="center"/>
    </xf>
    <xf numFmtId="14" fontId="11" fillId="0" borderId="9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33" fillId="0" borderId="6" xfId="0" applyFont="1" applyBorder="1" applyAlignment="1">
      <alignment horizontal="center"/>
    </xf>
    <xf numFmtId="14" fontId="2" fillId="17" borderId="8" xfId="0" applyNumberFormat="1" applyFont="1" applyFill="1" applyBorder="1" applyAlignment="1">
      <alignment horizontal="center"/>
    </xf>
    <xf numFmtId="0" fontId="0" fillId="27" borderId="7" xfId="0" applyFill="1" applyBorder="1"/>
    <xf numFmtId="0" fontId="0" fillId="27" borderId="5" xfId="0" applyFill="1" applyBorder="1" applyAlignment="1">
      <alignment horizontal="center"/>
    </xf>
    <xf numFmtId="0" fontId="0" fillId="27" borderId="5" xfId="0" applyFill="1" applyBorder="1" applyAlignment="1">
      <alignment horizontal="left"/>
    </xf>
    <xf numFmtId="0" fontId="2" fillId="27" borderId="5" xfId="0" applyFont="1" applyFill="1" applyBorder="1" applyAlignment="1">
      <alignment horizontal="left"/>
    </xf>
    <xf numFmtId="14" fontId="2" fillId="27" borderId="8" xfId="0" applyNumberFormat="1" applyFont="1" applyFill="1" applyBorder="1" applyAlignment="1">
      <alignment horizontal="center"/>
    </xf>
    <xf numFmtId="14" fontId="11" fillId="27" borderId="8" xfId="0" applyNumberFormat="1" applyFont="1" applyFill="1" applyBorder="1" applyAlignment="1">
      <alignment horizontal="center"/>
    </xf>
    <xf numFmtId="0" fontId="0" fillId="27" borderId="10" xfId="0" applyFill="1" applyBorder="1" applyAlignment="1">
      <alignment horizontal="center"/>
    </xf>
    <xf numFmtId="0" fontId="8" fillId="27" borderId="10" xfId="2" applyFill="1" applyBorder="1" applyAlignment="1">
      <alignment horizontal="center"/>
    </xf>
    <xf numFmtId="0" fontId="31" fillId="0" borderId="1" xfId="0" applyFont="1" applyBorder="1"/>
    <xf numFmtId="0" fontId="8" fillId="0" borderId="0" xfId="2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20" borderId="2" xfId="0" applyFont="1" applyFill="1" applyBorder="1" applyAlignment="1">
      <alignment horizontal="center"/>
    </xf>
    <xf numFmtId="0" fontId="5" fillId="20" borderId="1" xfId="0" applyFont="1" applyFill="1" applyBorder="1" applyAlignment="1">
      <alignment horizontal="center"/>
    </xf>
    <xf numFmtId="0" fontId="0" fillId="20" borderId="2" xfId="0" applyFill="1" applyBorder="1"/>
    <xf numFmtId="0" fontId="0" fillId="20" borderId="2" xfId="0" applyFill="1" applyBorder="1" applyAlignment="1">
      <alignment horizontal="center"/>
    </xf>
    <xf numFmtId="0" fontId="0" fillId="20" borderId="2" xfId="0" applyFill="1" applyBorder="1" applyAlignment="1">
      <alignment horizontal="left"/>
    </xf>
    <xf numFmtId="14" fontId="2" fillId="20" borderId="1" xfId="0" applyNumberFormat="1" applyFont="1" applyFill="1" applyBorder="1" applyAlignment="1">
      <alignment horizontal="center"/>
    </xf>
    <xf numFmtId="14" fontId="11" fillId="20" borderId="2" xfId="0" applyNumberFormat="1" applyFont="1" applyFill="1" applyBorder="1" applyAlignment="1">
      <alignment horizontal="center"/>
    </xf>
    <xf numFmtId="49" fontId="0" fillId="0" borderId="3" xfId="0" applyNumberFormat="1" applyBorder="1"/>
    <xf numFmtId="0" fontId="0" fillId="21" borderId="1" xfId="0" applyFill="1" applyBorder="1" applyAlignment="1">
      <alignment horizontal="left"/>
    </xf>
    <xf numFmtId="0" fontId="2" fillId="21" borderId="1" xfId="0" applyFont="1" applyFill="1" applyBorder="1" applyAlignment="1">
      <alignment horizontal="left"/>
    </xf>
    <xf numFmtId="0" fontId="8" fillId="21" borderId="1" xfId="2" applyFill="1" applyBorder="1" applyAlignment="1">
      <alignment horizontal="center"/>
    </xf>
    <xf numFmtId="14" fontId="0" fillId="20" borderId="1" xfId="0" applyNumberFormat="1" applyFill="1" applyBorder="1" applyAlignment="1">
      <alignment horizontal="center"/>
    </xf>
    <xf numFmtId="0" fontId="2" fillId="20" borderId="1" xfId="0" applyFont="1" applyFill="1" applyBorder="1" applyAlignment="1">
      <alignment horizontal="left"/>
    </xf>
    <xf numFmtId="0" fontId="2" fillId="20" borderId="1" xfId="0" applyFont="1" applyFill="1" applyBorder="1" applyAlignment="1">
      <alignment horizontal="center"/>
    </xf>
    <xf numFmtId="14" fontId="11" fillId="20" borderId="1" xfId="0" applyNumberFormat="1" applyFont="1" applyFill="1" applyBorder="1" applyAlignment="1">
      <alignment horizontal="center"/>
    </xf>
    <xf numFmtId="0" fontId="2" fillId="20" borderId="1" xfId="0" applyFont="1" applyFill="1" applyBorder="1"/>
    <xf numFmtId="0" fontId="8" fillId="20" borderId="10" xfId="2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14" fontId="5" fillId="4" borderId="1" xfId="0" applyNumberFormat="1" applyFont="1" applyFill="1" applyBorder="1" applyAlignment="1">
      <alignment horizontal="center"/>
    </xf>
    <xf numFmtId="0" fontId="0" fillId="27" borderId="1" xfId="0" applyFill="1" applyBorder="1"/>
    <xf numFmtId="14" fontId="2" fillId="27" borderId="1" xfId="0" applyNumberFormat="1" applyFont="1" applyFill="1" applyBorder="1" applyAlignment="1">
      <alignment horizontal="center"/>
    </xf>
    <xf numFmtId="0" fontId="0" fillId="27" borderId="1" xfId="0" applyFill="1" applyBorder="1" applyAlignment="1">
      <alignment horizontal="center"/>
    </xf>
    <xf numFmtId="14" fontId="4" fillId="20" borderId="1" xfId="0" applyNumberFormat="1" applyFont="1" applyFill="1" applyBorder="1" applyAlignment="1">
      <alignment horizontal="center"/>
    </xf>
    <xf numFmtId="14" fontId="2" fillId="17" borderId="12" xfId="0" applyNumberFormat="1" applyFont="1" applyFill="1" applyBorder="1" applyAlignment="1">
      <alignment horizontal="center"/>
    </xf>
    <xf numFmtId="14" fontId="11" fillId="17" borderId="9" xfId="0" applyNumberFormat="1" applyFont="1" applyFill="1" applyBorder="1" applyAlignment="1">
      <alignment horizontal="center"/>
    </xf>
    <xf numFmtId="0" fontId="0" fillId="28" borderId="1" xfId="0" applyFill="1" applyBorder="1"/>
    <xf numFmtId="0" fontId="0" fillId="28" borderId="1" xfId="0" applyFill="1" applyBorder="1" applyAlignment="1">
      <alignment horizontal="center"/>
    </xf>
    <xf numFmtId="0" fontId="19" fillId="20" borderId="10" xfId="2" applyFont="1" applyFill="1" applyBorder="1" applyAlignment="1">
      <alignment horizontal="center"/>
    </xf>
    <xf numFmtId="0" fontId="0" fillId="28" borderId="1" xfId="0" applyFill="1" applyBorder="1" applyAlignment="1">
      <alignment horizontal="left"/>
    </xf>
    <xf numFmtId="0" fontId="12" fillId="28" borderId="1" xfId="0" applyFont="1" applyFill="1" applyBorder="1" applyAlignment="1">
      <alignment horizontal="center"/>
    </xf>
    <xf numFmtId="14" fontId="0" fillId="28" borderId="1" xfId="0" applyNumberFormat="1" applyFill="1" applyBorder="1" applyAlignment="1">
      <alignment horizontal="center" wrapText="1"/>
    </xf>
    <xf numFmtId="14" fontId="0" fillId="28" borderId="0" xfId="0" applyNumberFormat="1" applyFill="1" applyAlignment="1">
      <alignment horizontal="center"/>
    </xf>
    <xf numFmtId="0" fontId="4" fillId="28" borderId="1" xfId="0" applyFont="1" applyFill="1" applyBorder="1" applyAlignment="1">
      <alignment horizontal="center"/>
    </xf>
    <xf numFmtId="0" fontId="0" fillId="28" borderId="10" xfId="0" applyFill="1" applyBorder="1" applyAlignment="1">
      <alignment horizontal="center"/>
    </xf>
    <xf numFmtId="0" fontId="8" fillId="28" borderId="1" xfId="2" applyFill="1" applyBorder="1" applyAlignment="1">
      <alignment horizontal="center"/>
    </xf>
    <xf numFmtId="0" fontId="0" fillId="28" borderId="0" xfId="0" applyFill="1"/>
    <xf numFmtId="14" fontId="2" fillId="20" borderId="8" xfId="0" applyNumberFormat="1" applyFont="1" applyFill="1" applyBorder="1" applyAlignment="1">
      <alignment horizontal="center"/>
    </xf>
    <xf numFmtId="0" fontId="4" fillId="20" borderId="1" xfId="0" applyFont="1" applyFill="1" applyBorder="1" applyAlignment="1">
      <alignment horizontal="center"/>
    </xf>
    <xf numFmtId="0" fontId="5" fillId="20" borderId="10" xfId="0" applyFont="1" applyFill="1" applyBorder="1" applyAlignment="1">
      <alignment horizontal="center"/>
    </xf>
    <xf numFmtId="0" fontId="8" fillId="20" borderId="2" xfId="2" applyFill="1" applyBorder="1" applyAlignment="1">
      <alignment horizontal="center"/>
    </xf>
    <xf numFmtId="0" fontId="0" fillId="0" borderId="2" xfId="0" applyBorder="1" applyAlignment="1">
      <alignment horizontal="left"/>
    </xf>
    <xf numFmtId="0" fontId="2" fillId="20" borderId="5" xfId="0" applyFont="1" applyFill="1" applyBorder="1" applyAlignment="1">
      <alignment horizontal="center"/>
    </xf>
    <xf numFmtId="0" fontId="5" fillId="27" borderId="1" xfId="0" applyFont="1" applyFill="1" applyBorder="1"/>
    <xf numFmtId="14" fontId="0" fillId="27" borderId="1" xfId="0" applyNumberFormat="1" applyFill="1" applyBorder="1" applyAlignment="1">
      <alignment horizontal="center"/>
    </xf>
    <xf numFmtId="0" fontId="0" fillId="27" borderId="5" xfId="0" applyFill="1" applyBorder="1"/>
    <xf numFmtId="0" fontId="13" fillId="27" borderId="5" xfId="0" applyFont="1" applyFill="1" applyBorder="1" applyAlignment="1">
      <alignment horizontal="center"/>
    </xf>
    <xf numFmtId="14" fontId="0" fillId="27" borderId="5" xfId="0" applyNumberFormat="1" applyFill="1" applyBorder="1" applyAlignment="1">
      <alignment horizontal="center"/>
    </xf>
    <xf numFmtId="14" fontId="4" fillId="27" borderId="5" xfId="0" applyNumberFormat="1" applyFont="1" applyFill="1" applyBorder="1" applyAlignment="1">
      <alignment horizontal="center"/>
    </xf>
    <xf numFmtId="0" fontId="8" fillId="27" borderId="1" xfId="2" applyFill="1" applyBorder="1" applyAlignment="1">
      <alignment horizontal="center"/>
    </xf>
    <xf numFmtId="0" fontId="0" fillId="27" borderId="0" xfId="0" applyFill="1"/>
    <xf numFmtId="0" fontId="0" fillId="27" borderId="10" xfId="0" applyFill="1" applyBorder="1"/>
    <xf numFmtId="0" fontId="2" fillId="20" borderId="5" xfId="0" applyFont="1" applyFill="1" applyBorder="1"/>
    <xf numFmtId="0" fontId="5" fillId="0" borderId="9" xfId="0" applyFont="1" applyBorder="1" applyAlignment="1">
      <alignment horizontal="center"/>
    </xf>
    <xf numFmtId="0" fontId="18" fillId="20" borderId="1" xfId="0" applyFont="1" applyFill="1" applyBorder="1" applyAlignment="1">
      <alignment horizontal="center"/>
    </xf>
    <xf numFmtId="0" fontId="5" fillId="20" borderId="1" xfId="0" applyFont="1" applyFill="1" applyBorder="1"/>
    <xf numFmtId="14" fontId="2" fillId="20" borderId="5" xfId="0" applyNumberFormat="1" applyFont="1" applyFill="1" applyBorder="1" applyAlignment="1">
      <alignment horizontal="center"/>
    </xf>
    <xf numFmtId="0" fontId="5" fillId="20" borderId="5" xfId="0" applyFont="1" applyFill="1" applyBorder="1"/>
    <xf numFmtId="0" fontId="5" fillId="17" borderId="1" xfId="0" applyFont="1" applyFill="1" applyBorder="1" applyAlignment="1">
      <alignment horizontal="left"/>
    </xf>
    <xf numFmtId="14" fontId="5" fillId="17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2" xfId="0" applyFont="1" applyBorder="1" applyAlignment="1">
      <alignment horizontal="left"/>
    </xf>
    <xf numFmtId="0" fontId="1" fillId="0" borderId="0" xfId="0" applyFont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6" xfId="0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2" fillId="0" borderId="1" xfId="0" applyFont="1" applyFill="1" applyBorder="1"/>
    <xf numFmtId="0" fontId="2" fillId="0" borderId="1" xfId="0" applyFont="1" applyFill="1" applyBorder="1" applyAlignment="1">
      <alignment horizontal="left"/>
    </xf>
    <xf numFmtId="14" fontId="2" fillId="0" borderId="5" xfId="0" applyNumberFormat="1" applyFont="1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0" xfId="0" applyFill="1"/>
    <xf numFmtId="0" fontId="0" fillId="0" borderId="1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14" fontId="2" fillId="0" borderId="1" xfId="0" applyNumberFormat="1" applyFont="1" applyFill="1" applyBorder="1" applyAlignment="1">
      <alignment horizontal="center"/>
    </xf>
    <xf numFmtId="14" fontId="11" fillId="0" borderId="1" xfId="0" applyNumberFormat="1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5" fillId="0" borderId="5" xfId="0" applyFont="1" applyFill="1" applyBorder="1"/>
    <xf numFmtId="0" fontId="0" fillId="0" borderId="5" xfId="0" applyFill="1" applyBorder="1" applyAlignment="1">
      <alignment horizontal="center"/>
    </xf>
    <xf numFmtId="0" fontId="2" fillId="0" borderId="5" xfId="0" applyFont="1" applyFill="1" applyBorder="1"/>
    <xf numFmtId="0" fontId="18" fillId="0" borderId="1" xfId="0" applyFont="1" applyFill="1" applyBorder="1" applyAlignment="1">
      <alignment horizontal="center"/>
    </xf>
    <xf numFmtId="0" fontId="5" fillId="0" borderId="7" xfId="0" applyFont="1" applyFill="1" applyBorder="1"/>
    <xf numFmtId="0" fontId="2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14" fontId="4" fillId="0" borderId="1" xfId="0" applyNumberFormat="1" applyFont="1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5" fillId="0" borderId="10" xfId="0" applyFont="1" applyFill="1" applyBorder="1" applyAlignment="1">
      <alignment horizontal="center"/>
    </xf>
    <xf numFmtId="0" fontId="0" fillId="0" borderId="6" xfId="0" applyFill="1" applyBorder="1"/>
    <xf numFmtId="14" fontId="11" fillId="0" borderId="10" xfId="0" applyNumberFormat="1" applyFont="1" applyFill="1" applyBorder="1" applyAlignment="1">
      <alignment horizontal="center"/>
    </xf>
    <xf numFmtId="14" fontId="0" fillId="0" borderId="8" xfId="0" applyNumberFormat="1" applyFill="1" applyBorder="1" applyAlignment="1">
      <alignment horizontal="center"/>
    </xf>
    <xf numFmtId="14" fontId="2" fillId="0" borderId="8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8" fillId="20" borderId="0" xfId="2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20" borderId="10" xfId="0" applyFill="1" applyBorder="1"/>
    <xf numFmtId="0" fontId="24" fillId="0" borderId="1" xfId="0" applyFont="1" applyBorder="1" applyAlignment="1">
      <alignment horizontal="center"/>
    </xf>
    <xf numFmtId="14" fontId="4" fillId="27" borderId="6" xfId="0" applyNumberFormat="1" applyFont="1" applyFill="1" applyBorder="1" applyAlignment="1">
      <alignment horizontal="center"/>
    </xf>
  </cellXfs>
  <cellStyles count="4">
    <cellStyle name="Calculation" xfId="3" builtinId="22"/>
    <cellStyle name="Heading 2" xfId="1" builtinId="17"/>
    <cellStyle name="Hyperlink" xfId="2" builtinId="8"/>
    <cellStyle name="Normal" xfId="0" builtinId="0"/>
  </cellStyles>
  <dxfs count="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ECFF"/>
      <color rgb="FFCCFFFF"/>
      <color rgb="FFFF7C80"/>
      <color rgb="FFFF9999"/>
      <color rgb="FFCCCCFF"/>
      <color rgb="FFFFCCFF"/>
      <color rgb="FFFFFFCC"/>
      <color rgb="FF99FFCC"/>
      <color rgb="FFCC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mailto:maribele@fhcsd.org" TargetMode="External"/><Relationship Id="rId21" Type="http://schemas.openxmlformats.org/officeDocument/2006/relationships/hyperlink" Target="mailto:nehitao@fhcsd.org" TargetMode="External"/><Relationship Id="rId42" Type="http://schemas.openxmlformats.org/officeDocument/2006/relationships/hyperlink" Target="mailto:lorys@fhcsd.org" TargetMode="External"/><Relationship Id="rId47" Type="http://schemas.openxmlformats.org/officeDocument/2006/relationships/hyperlink" Target="mailto:jocelyng@fhcsd.org" TargetMode="External"/><Relationship Id="rId63" Type="http://schemas.openxmlformats.org/officeDocument/2006/relationships/hyperlink" Target="mailto:mercyc@fhcsd.org" TargetMode="External"/><Relationship Id="rId68" Type="http://schemas.openxmlformats.org/officeDocument/2006/relationships/hyperlink" Target="mailto:maribele@fhcsd.org" TargetMode="External"/><Relationship Id="rId16" Type="http://schemas.openxmlformats.org/officeDocument/2006/relationships/hyperlink" Target="mailto:daniellet@fhcsd.org" TargetMode="External"/><Relationship Id="rId11" Type="http://schemas.openxmlformats.org/officeDocument/2006/relationships/hyperlink" Target="mailto:galias@fhcsd.org" TargetMode="External"/><Relationship Id="rId24" Type="http://schemas.openxmlformats.org/officeDocument/2006/relationships/hyperlink" Target="mailto:aarongo@fhcsd.org" TargetMode="External"/><Relationship Id="rId32" Type="http://schemas.openxmlformats.org/officeDocument/2006/relationships/hyperlink" Target="mailto:lorys@fhcsd.org" TargetMode="External"/><Relationship Id="rId37" Type="http://schemas.openxmlformats.org/officeDocument/2006/relationships/hyperlink" Target="mailto:jocelyng@fhcsd.org" TargetMode="External"/><Relationship Id="rId40" Type="http://schemas.openxmlformats.org/officeDocument/2006/relationships/hyperlink" Target="mailto:lorys@fhcsd.org" TargetMode="External"/><Relationship Id="rId45" Type="http://schemas.openxmlformats.org/officeDocument/2006/relationships/hyperlink" Target="mailto:jocelyng@fhcsd.org" TargetMode="External"/><Relationship Id="rId53" Type="http://schemas.openxmlformats.org/officeDocument/2006/relationships/hyperlink" Target="mailto:galias@fhcsd.org" TargetMode="External"/><Relationship Id="rId58" Type="http://schemas.openxmlformats.org/officeDocument/2006/relationships/hyperlink" Target="mailto:mercyc@fhcsd.org" TargetMode="External"/><Relationship Id="rId66" Type="http://schemas.openxmlformats.org/officeDocument/2006/relationships/hyperlink" Target="mailto:lorys@fhcsd.org" TargetMode="External"/><Relationship Id="rId74" Type="http://schemas.openxmlformats.org/officeDocument/2006/relationships/hyperlink" Target="mailto:mercyc@fhcsd.org" TargetMode="External"/><Relationship Id="rId5" Type="http://schemas.openxmlformats.org/officeDocument/2006/relationships/hyperlink" Target="mailto:aarongo@fhcsd.org" TargetMode="External"/><Relationship Id="rId61" Type="http://schemas.openxmlformats.org/officeDocument/2006/relationships/hyperlink" Target="mailto:daniellet@fhcsd.org" TargetMode="External"/><Relationship Id="rId19" Type="http://schemas.openxmlformats.org/officeDocument/2006/relationships/hyperlink" Target="mailto:daniellet@fhcsd.org" TargetMode="External"/><Relationship Id="rId14" Type="http://schemas.openxmlformats.org/officeDocument/2006/relationships/hyperlink" Target="mailto:galias@fhcsd.org" TargetMode="External"/><Relationship Id="rId22" Type="http://schemas.openxmlformats.org/officeDocument/2006/relationships/hyperlink" Target="mailto:galias@fhcsd.org" TargetMode="External"/><Relationship Id="rId27" Type="http://schemas.openxmlformats.org/officeDocument/2006/relationships/hyperlink" Target="mailto:maribele@fhcsd.org" TargetMode="External"/><Relationship Id="rId30" Type="http://schemas.openxmlformats.org/officeDocument/2006/relationships/hyperlink" Target="mailto:daniellet@fhcsd.org" TargetMode="External"/><Relationship Id="rId35" Type="http://schemas.openxmlformats.org/officeDocument/2006/relationships/hyperlink" Target="mailto:aarongo@fhcsd.org" TargetMode="External"/><Relationship Id="rId43" Type="http://schemas.openxmlformats.org/officeDocument/2006/relationships/hyperlink" Target="mailto:lorys@fhcsd.org" TargetMode="External"/><Relationship Id="rId48" Type="http://schemas.openxmlformats.org/officeDocument/2006/relationships/hyperlink" Target="mailto:mercyc@fhcsd.org" TargetMode="External"/><Relationship Id="rId56" Type="http://schemas.openxmlformats.org/officeDocument/2006/relationships/hyperlink" Target="mailto:aarongo@fhcsd.org" TargetMode="External"/><Relationship Id="rId64" Type="http://schemas.openxmlformats.org/officeDocument/2006/relationships/hyperlink" Target="mailto:galias@fhcsd.org" TargetMode="External"/><Relationship Id="rId69" Type="http://schemas.openxmlformats.org/officeDocument/2006/relationships/hyperlink" Target="mailto:aarongo@fhcsd.org" TargetMode="External"/><Relationship Id="rId77" Type="http://schemas.openxmlformats.org/officeDocument/2006/relationships/printerSettings" Target="../printerSettings/printerSettings1.bin"/><Relationship Id="rId8" Type="http://schemas.openxmlformats.org/officeDocument/2006/relationships/hyperlink" Target="mailto:nehitao@fhcsd.org" TargetMode="External"/><Relationship Id="rId51" Type="http://schemas.openxmlformats.org/officeDocument/2006/relationships/hyperlink" Target="mailto:maribele@fhcsd.org" TargetMode="External"/><Relationship Id="rId72" Type="http://schemas.openxmlformats.org/officeDocument/2006/relationships/hyperlink" Target="mailto:daniellet@fhcsd.org" TargetMode="External"/><Relationship Id="rId3" Type="http://schemas.openxmlformats.org/officeDocument/2006/relationships/hyperlink" Target="mailto:lorys@fhcsd.org" TargetMode="External"/><Relationship Id="rId12" Type="http://schemas.openxmlformats.org/officeDocument/2006/relationships/hyperlink" Target="mailto:galias@fhcsd.org" TargetMode="External"/><Relationship Id="rId17" Type="http://schemas.openxmlformats.org/officeDocument/2006/relationships/hyperlink" Target="mailto:nehitao@fhcsd.org" TargetMode="External"/><Relationship Id="rId25" Type="http://schemas.openxmlformats.org/officeDocument/2006/relationships/hyperlink" Target="mailto:daniellet@fhcsd.org" TargetMode="External"/><Relationship Id="rId33" Type="http://schemas.openxmlformats.org/officeDocument/2006/relationships/hyperlink" Target="mailto:galias@fhcsd.org" TargetMode="External"/><Relationship Id="rId38" Type="http://schemas.openxmlformats.org/officeDocument/2006/relationships/hyperlink" Target="mailto:jocelyng@fhcsd.org" TargetMode="External"/><Relationship Id="rId46" Type="http://schemas.openxmlformats.org/officeDocument/2006/relationships/hyperlink" Target="mailto:nehitaoa@fhcsd.org" TargetMode="External"/><Relationship Id="rId59" Type="http://schemas.openxmlformats.org/officeDocument/2006/relationships/hyperlink" Target="mailto:mercyc@fhcsd.org" TargetMode="External"/><Relationship Id="rId67" Type="http://schemas.openxmlformats.org/officeDocument/2006/relationships/hyperlink" Target="mailto:maribele@fhcsd.org" TargetMode="External"/><Relationship Id="rId20" Type="http://schemas.openxmlformats.org/officeDocument/2006/relationships/hyperlink" Target="mailto:galias@fhcsd.org" TargetMode="External"/><Relationship Id="rId41" Type="http://schemas.openxmlformats.org/officeDocument/2006/relationships/hyperlink" Target="mailto:jocelyng@fhcsd.org" TargetMode="External"/><Relationship Id="rId54" Type="http://schemas.openxmlformats.org/officeDocument/2006/relationships/hyperlink" Target="mailto:daniellet@fhcsd.org" TargetMode="External"/><Relationship Id="rId62" Type="http://schemas.openxmlformats.org/officeDocument/2006/relationships/hyperlink" Target="mailto:mercyc@fhcsd.org" TargetMode="External"/><Relationship Id="rId70" Type="http://schemas.openxmlformats.org/officeDocument/2006/relationships/hyperlink" Target="mailto:galias@fhcsd.org" TargetMode="External"/><Relationship Id="rId75" Type="http://schemas.openxmlformats.org/officeDocument/2006/relationships/hyperlink" Target="mailto:mercyc@fhcsd.org" TargetMode="External"/><Relationship Id="rId1" Type="http://schemas.openxmlformats.org/officeDocument/2006/relationships/hyperlink" Target="mailto:maribele@fhcsd.org" TargetMode="External"/><Relationship Id="rId6" Type="http://schemas.openxmlformats.org/officeDocument/2006/relationships/hyperlink" Target="mailto:aarongo@fhcsd.org" TargetMode="External"/><Relationship Id="rId15" Type="http://schemas.openxmlformats.org/officeDocument/2006/relationships/hyperlink" Target="mailto:daniellet@fhcsd.org" TargetMode="External"/><Relationship Id="rId23" Type="http://schemas.openxmlformats.org/officeDocument/2006/relationships/hyperlink" Target="mailto:nehitao@fhcsd.org" TargetMode="External"/><Relationship Id="rId28" Type="http://schemas.openxmlformats.org/officeDocument/2006/relationships/hyperlink" Target="mailto:daniellet@fhcsd.org" TargetMode="External"/><Relationship Id="rId36" Type="http://schemas.openxmlformats.org/officeDocument/2006/relationships/hyperlink" Target="mailto:lorys@fhcsd.org" TargetMode="External"/><Relationship Id="rId49" Type="http://schemas.openxmlformats.org/officeDocument/2006/relationships/hyperlink" Target="mailto:daniellet@fhcsd.org" TargetMode="External"/><Relationship Id="rId57" Type="http://schemas.openxmlformats.org/officeDocument/2006/relationships/hyperlink" Target="mailto:mercyc@fhcsd.org" TargetMode="External"/><Relationship Id="rId10" Type="http://schemas.openxmlformats.org/officeDocument/2006/relationships/hyperlink" Target="mailto:galias@fhcsd.org" TargetMode="External"/><Relationship Id="rId31" Type="http://schemas.openxmlformats.org/officeDocument/2006/relationships/hyperlink" Target="mailto:mercyc@fhcsd.org" TargetMode="External"/><Relationship Id="rId44" Type="http://schemas.openxmlformats.org/officeDocument/2006/relationships/hyperlink" Target="mailto:lorys@fhcsd.org" TargetMode="External"/><Relationship Id="rId52" Type="http://schemas.openxmlformats.org/officeDocument/2006/relationships/hyperlink" Target="mailto:maribele@fhcsd.org" TargetMode="External"/><Relationship Id="rId60" Type="http://schemas.openxmlformats.org/officeDocument/2006/relationships/hyperlink" Target="mailto:mercyc@fhcsd.org" TargetMode="External"/><Relationship Id="rId65" Type="http://schemas.openxmlformats.org/officeDocument/2006/relationships/hyperlink" Target="mailto:galias@fhcsd.org" TargetMode="External"/><Relationship Id="rId73" Type="http://schemas.openxmlformats.org/officeDocument/2006/relationships/hyperlink" Target="mailto:galias@fhcsd.org" TargetMode="External"/><Relationship Id="rId4" Type="http://schemas.openxmlformats.org/officeDocument/2006/relationships/hyperlink" Target="mailto:maribele@fhcsd.org" TargetMode="External"/><Relationship Id="rId9" Type="http://schemas.openxmlformats.org/officeDocument/2006/relationships/hyperlink" Target="mailto:galias@fhcsd.org" TargetMode="External"/><Relationship Id="rId13" Type="http://schemas.openxmlformats.org/officeDocument/2006/relationships/hyperlink" Target="mailto:galias@fhcsd.org" TargetMode="External"/><Relationship Id="rId18" Type="http://schemas.openxmlformats.org/officeDocument/2006/relationships/hyperlink" Target="mailto:galias@fhcsd.org" TargetMode="External"/><Relationship Id="rId39" Type="http://schemas.openxmlformats.org/officeDocument/2006/relationships/hyperlink" Target="mailto:lorys@fhcsd.org" TargetMode="External"/><Relationship Id="rId34" Type="http://schemas.openxmlformats.org/officeDocument/2006/relationships/hyperlink" Target="mailto:nehitaoa@fhcsd.org" TargetMode="External"/><Relationship Id="rId50" Type="http://schemas.openxmlformats.org/officeDocument/2006/relationships/hyperlink" Target="mailto:daniellet@fhcsd.org" TargetMode="External"/><Relationship Id="rId55" Type="http://schemas.openxmlformats.org/officeDocument/2006/relationships/hyperlink" Target="mailto:aarongo@fhcsd.org" TargetMode="External"/><Relationship Id="rId76" Type="http://schemas.openxmlformats.org/officeDocument/2006/relationships/hyperlink" Target="mailto:jocelyng@fhcsd.org" TargetMode="External"/><Relationship Id="rId7" Type="http://schemas.openxmlformats.org/officeDocument/2006/relationships/hyperlink" Target="mailto:nehitao@fhcsd.org" TargetMode="External"/><Relationship Id="rId71" Type="http://schemas.openxmlformats.org/officeDocument/2006/relationships/hyperlink" Target="mailto:galias@fhcsd.org" TargetMode="External"/><Relationship Id="rId2" Type="http://schemas.openxmlformats.org/officeDocument/2006/relationships/hyperlink" Target="mailto:lorys@fhcsd.org" TargetMode="External"/><Relationship Id="rId29" Type="http://schemas.openxmlformats.org/officeDocument/2006/relationships/hyperlink" Target="mailto:mercyc@fhcsd.org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mailto:maribele@fhcsd.org" TargetMode="External"/><Relationship Id="rId21" Type="http://schemas.openxmlformats.org/officeDocument/2006/relationships/hyperlink" Target="mailto:mercyc@fhcsd.org" TargetMode="External"/><Relationship Id="rId42" Type="http://schemas.openxmlformats.org/officeDocument/2006/relationships/hyperlink" Target="mailto:nehitaoa@fhcsd.org" TargetMode="External"/><Relationship Id="rId47" Type="http://schemas.openxmlformats.org/officeDocument/2006/relationships/hyperlink" Target="mailto:mercyc@fhcsd.org" TargetMode="External"/><Relationship Id="rId63" Type="http://schemas.openxmlformats.org/officeDocument/2006/relationships/hyperlink" Target="mailto:aarongo@fhcsd.org" TargetMode="External"/><Relationship Id="rId68" Type="http://schemas.openxmlformats.org/officeDocument/2006/relationships/hyperlink" Target="mailto:aarongo@fhcsd.org" TargetMode="External"/><Relationship Id="rId84" Type="http://schemas.openxmlformats.org/officeDocument/2006/relationships/hyperlink" Target="mailto:maribele@fhcsd.org" TargetMode="External"/><Relationship Id="rId89" Type="http://schemas.openxmlformats.org/officeDocument/2006/relationships/hyperlink" Target="mailto:mercyc@fhcsd.org" TargetMode="External"/><Relationship Id="rId16" Type="http://schemas.openxmlformats.org/officeDocument/2006/relationships/hyperlink" Target="mailto:aarongo@fhcsd.org" TargetMode="External"/><Relationship Id="rId107" Type="http://schemas.openxmlformats.org/officeDocument/2006/relationships/hyperlink" Target="mailto:mercyc@fhcsd.org" TargetMode="External"/><Relationship Id="rId11" Type="http://schemas.openxmlformats.org/officeDocument/2006/relationships/hyperlink" Target="mailto:galias@fhcsd.org" TargetMode="External"/><Relationship Id="rId32" Type="http://schemas.openxmlformats.org/officeDocument/2006/relationships/hyperlink" Target="mailto:daniellet@fhcsd.org" TargetMode="External"/><Relationship Id="rId37" Type="http://schemas.openxmlformats.org/officeDocument/2006/relationships/hyperlink" Target="mailto:aarongo@fhcsd.org" TargetMode="External"/><Relationship Id="rId53" Type="http://schemas.openxmlformats.org/officeDocument/2006/relationships/hyperlink" Target="mailto:mercyc@fhcsd.org" TargetMode="External"/><Relationship Id="rId58" Type="http://schemas.openxmlformats.org/officeDocument/2006/relationships/hyperlink" Target="mailto:aarongo@fhcsd.org" TargetMode="External"/><Relationship Id="rId74" Type="http://schemas.openxmlformats.org/officeDocument/2006/relationships/hyperlink" Target="mailto:mercyc@fhcsd.org" TargetMode="External"/><Relationship Id="rId79" Type="http://schemas.openxmlformats.org/officeDocument/2006/relationships/hyperlink" Target="mailto:mercyc@fhcsd.org" TargetMode="External"/><Relationship Id="rId102" Type="http://schemas.openxmlformats.org/officeDocument/2006/relationships/hyperlink" Target="mailto:maribele@fhcsd.org" TargetMode="External"/><Relationship Id="rId5" Type="http://schemas.openxmlformats.org/officeDocument/2006/relationships/hyperlink" Target="mailto:aarongo@fhcsd.org" TargetMode="External"/><Relationship Id="rId90" Type="http://schemas.openxmlformats.org/officeDocument/2006/relationships/hyperlink" Target="mailto:maribele@fhcsd.org" TargetMode="External"/><Relationship Id="rId95" Type="http://schemas.openxmlformats.org/officeDocument/2006/relationships/hyperlink" Target="mailto:maribele@fhcsd.org" TargetMode="External"/><Relationship Id="rId22" Type="http://schemas.openxmlformats.org/officeDocument/2006/relationships/hyperlink" Target="mailto:mercyc@fhcsd.org" TargetMode="External"/><Relationship Id="rId27" Type="http://schemas.openxmlformats.org/officeDocument/2006/relationships/hyperlink" Target="mailto:maribele@fhcsd.org" TargetMode="External"/><Relationship Id="rId43" Type="http://schemas.openxmlformats.org/officeDocument/2006/relationships/hyperlink" Target="mailto:daniellet@fhcsd.org" TargetMode="External"/><Relationship Id="rId48" Type="http://schemas.openxmlformats.org/officeDocument/2006/relationships/hyperlink" Target="mailto:mercyc@fhcsd.org" TargetMode="External"/><Relationship Id="rId64" Type="http://schemas.openxmlformats.org/officeDocument/2006/relationships/hyperlink" Target="mailto:aarongo@fhcsd.org" TargetMode="External"/><Relationship Id="rId69" Type="http://schemas.openxmlformats.org/officeDocument/2006/relationships/hyperlink" Target="mailto:aarongo@fhcsd.org" TargetMode="External"/><Relationship Id="rId80" Type="http://schemas.openxmlformats.org/officeDocument/2006/relationships/hyperlink" Target="mailto:mercyc@fhcsd.org" TargetMode="External"/><Relationship Id="rId85" Type="http://schemas.openxmlformats.org/officeDocument/2006/relationships/hyperlink" Target="mailto:mercyc@fhcsd.org" TargetMode="External"/><Relationship Id="rId12" Type="http://schemas.openxmlformats.org/officeDocument/2006/relationships/hyperlink" Target="mailto:maribele@fhcsd.org" TargetMode="External"/><Relationship Id="rId17" Type="http://schemas.openxmlformats.org/officeDocument/2006/relationships/hyperlink" Target="mailto:galias@fhcsd.org" TargetMode="External"/><Relationship Id="rId33" Type="http://schemas.openxmlformats.org/officeDocument/2006/relationships/hyperlink" Target="mailto:daniellet@fhcsd.org" TargetMode="External"/><Relationship Id="rId38" Type="http://schemas.openxmlformats.org/officeDocument/2006/relationships/hyperlink" Target="mailto:daniellet@fhcsd.org" TargetMode="External"/><Relationship Id="rId59" Type="http://schemas.openxmlformats.org/officeDocument/2006/relationships/hyperlink" Target="mailto:aarongo@fhcsd.org" TargetMode="External"/><Relationship Id="rId103" Type="http://schemas.openxmlformats.org/officeDocument/2006/relationships/hyperlink" Target="mailto:maribele@fhcsd.org" TargetMode="External"/><Relationship Id="rId108" Type="http://schemas.openxmlformats.org/officeDocument/2006/relationships/hyperlink" Target="mailto:maribele@fhcsd.org" TargetMode="External"/><Relationship Id="rId54" Type="http://schemas.openxmlformats.org/officeDocument/2006/relationships/hyperlink" Target="mailto:mercyc@fhcsd.org" TargetMode="External"/><Relationship Id="rId70" Type="http://schemas.openxmlformats.org/officeDocument/2006/relationships/hyperlink" Target="mailto:mercyc@fhcsd.org" TargetMode="External"/><Relationship Id="rId75" Type="http://schemas.openxmlformats.org/officeDocument/2006/relationships/hyperlink" Target="mailto:aarongo@fhcsd.org" TargetMode="External"/><Relationship Id="rId91" Type="http://schemas.openxmlformats.org/officeDocument/2006/relationships/hyperlink" Target="mailto:maribele@fhcsd.org" TargetMode="External"/><Relationship Id="rId96" Type="http://schemas.openxmlformats.org/officeDocument/2006/relationships/hyperlink" Target="mailto:mercyc@fhcsd.org" TargetMode="External"/><Relationship Id="rId1" Type="http://schemas.openxmlformats.org/officeDocument/2006/relationships/hyperlink" Target="mailto:maribele@fhcsd.org" TargetMode="External"/><Relationship Id="rId6" Type="http://schemas.openxmlformats.org/officeDocument/2006/relationships/hyperlink" Target="mailto:aarongo@fhcsd.org" TargetMode="External"/><Relationship Id="rId15" Type="http://schemas.openxmlformats.org/officeDocument/2006/relationships/hyperlink" Target="mailto:maribele@fhcsd.org" TargetMode="External"/><Relationship Id="rId23" Type="http://schemas.openxmlformats.org/officeDocument/2006/relationships/hyperlink" Target="mailto:mercyc@fhcsd.org" TargetMode="External"/><Relationship Id="rId28" Type="http://schemas.openxmlformats.org/officeDocument/2006/relationships/hyperlink" Target="mailto:galias@fhcsd.org" TargetMode="External"/><Relationship Id="rId36" Type="http://schemas.openxmlformats.org/officeDocument/2006/relationships/hyperlink" Target="mailto:daniellet@fhcsd.org" TargetMode="External"/><Relationship Id="rId49" Type="http://schemas.openxmlformats.org/officeDocument/2006/relationships/hyperlink" Target="mailto:mercyc@fhcsd.org" TargetMode="External"/><Relationship Id="rId57" Type="http://schemas.openxmlformats.org/officeDocument/2006/relationships/hyperlink" Target="mailto:maribele@fhcsd.org" TargetMode="External"/><Relationship Id="rId106" Type="http://schemas.openxmlformats.org/officeDocument/2006/relationships/hyperlink" Target="mailto:mercyc@fhcsd.org" TargetMode="External"/><Relationship Id="rId10" Type="http://schemas.openxmlformats.org/officeDocument/2006/relationships/hyperlink" Target="mailto:galias@fhcsd.org" TargetMode="External"/><Relationship Id="rId31" Type="http://schemas.openxmlformats.org/officeDocument/2006/relationships/hyperlink" Target="mailto:daniellet@fhcsd.org" TargetMode="External"/><Relationship Id="rId44" Type="http://schemas.openxmlformats.org/officeDocument/2006/relationships/hyperlink" Target="mailto:daniellet@fhcsd.org" TargetMode="External"/><Relationship Id="rId52" Type="http://schemas.openxmlformats.org/officeDocument/2006/relationships/hyperlink" Target="mailto:daniellet@fhcsd.org" TargetMode="External"/><Relationship Id="rId60" Type="http://schemas.openxmlformats.org/officeDocument/2006/relationships/hyperlink" Target="mailto:jocelyng@fhcsd.org" TargetMode="External"/><Relationship Id="rId65" Type="http://schemas.openxmlformats.org/officeDocument/2006/relationships/hyperlink" Target="mailto:aarongo@fhcsd.org" TargetMode="External"/><Relationship Id="rId73" Type="http://schemas.openxmlformats.org/officeDocument/2006/relationships/hyperlink" Target="mailto:mercyc@fhcsd.org" TargetMode="External"/><Relationship Id="rId78" Type="http://schemas.openxmlformats.org/officeDocument/2006/relationships/hyperlink" Target="mailto:mercyc@fhcsd.org" TargetMode="External"/><Relationship Id="rId81" Type="http://schemas.openxmlformats.org/officeDocument/2006/relationships/hyperlink" Target="mailto:daniellet@fhcsd.org" TargetMode="External"/><Relationship Id="rId86" Type="http://schemas.openxmlformats.org/officeDocument/2006/relationships/hyperlink" Target="mailto:mercyc@fhcsd.org" TargetMode="External"/><Relationship Id="rId94" Type="http://schemas.openxmlformats.org/officeDocument/2006/relationships/hyperlink" Target="mailto:maribele@fhcsd.org" TargetMode="External"/><Relationship Id="rId99" Type="http://schemas.openxmlformats.org/officeDocument/2006/relationships/hyperlink" Target="mailto:maribele@fhcsd.org" TargetMode="External"/><Relationship Id="rId101" Type="http://schemas.openxmlformats.org/officeDocument/2006/relationships/hyperlink" Target="mailto:maribele@fhcsd.org" TargetMode="External"/><Relationship Id="rId4" Type="http://schemas.openxmlformats.org/officeDocument/2006/relationships/hyperlink" Target="mailto:aarongo@fhcsd.org" TargetMode="External"/><Relationship Id="rId9" Type="http://schemas.openxmlformats.org/officeDocument/2006/relationships/hyperlink" Target="mailto:aarongo@fhcsd.org" TargetMode="External"/><Relationship Id="rId13" Type="http://schemas.openxmlformats.org/officeDocument/2006/relationships/hyperlink" Target="mailto:maribele@fhcsd.org" TargetMode="External"/><Relationship Id="rId18" Type="http://schemas.openxmlformats.org/officeDocument/2006/relationships/hyperlink" Target="mailto:maribele@fhcsd.org" TargetMode="External"/><Relationship Id="rId39" Type="http://schemas.openxmlformats.org/officeDocument/2006/relationships/hyperlink" Target="mailto:maribele@fhcsd.org" TargetMode="External"/><Relationship Id="rId109" Type="http://schemas.openxmlformats.org/officeDocument/2006/relationships/printerSettings" Target="../printerSettings/printerSettings2.bin"/><Relationship Id="rId34" Type="http://schemas.openxmlformats.org/officeDocument/2006/relationships/hyperlink" Target="mailto:daniellet@fhcsd.org" TargetMode="External"/><Relationship Id="rId50" Type="http://schemas.openxmlformats.org/officeDocument/2006/relationships/hyperlink" Target="mailto:aarongo@fhcsd.org" TargetMode="External"/><Relationship Id="rId55" Type="http://schemas.openxmlformats.org/officeDocument/2006/relationships/hyperlink" Target="mailto:daniellet@fhcsd.org" TargetMode="External"/><Relationship Id="rId76" Type="http://schemas.openxmlformats.org/officeDocument/2006/relationships/hyperlink" Target="mailto:daniellet@fhcsd.org" TargetMode="External"/><Relationship Id="rId97" Type="http://schemas.openxmlformats.org/officeDocument/2006/relationships/hyperlink" Target="mailto:mercyc@fhcsd.org" TargetMode="External"/><Relationship Id="rId104" Type="http://schemas.openxmlformats.org/officeDocument/2006/relationships/hyperlink" Target="mailto:jocelyng@fhcsd.org" TargetMode="External"/><Relationship Id="rId7" Type="http://schemas.openxmlformats.org/officeDocument/2006/relationships/hyperlink" Target="mailto:galias@fhcsd.org" TargetMode="External"/><Relationship Id="rId71" Type="http://schemas.openxmlformats.org/officeDocument/2006/relationships/hyperlink" Target="mailto:mercyc@fhcsd.org" TargetMode="External"/><Relationship Id="rId92" Type="http://schemas.openxmlformats.org/officeDocument/2006/relationships/hyperlink" Target="mailto:maribele@fhcsd.org" TargetMode="External"/><Relationship Id="rId2" Type="http://schemas.openxmlformats.org/officeDocument/2006/relationships/hyperlink" Target="mailto:maribele@fhcsd.org" TargetMode="External"/><Relationship Id="rId29" Type="http://schemas.openxmlformats.org/officeDocument/2006/relationships/hyperlink" Target="mailto:galias@fhcsd.org" TargetMode="External"/><Relationship Id="rId24" Type="http://schemas.openxmlformats.org/officeDocument/2006/relationships/hyperlink" Target="mailto:mercyc@fhcsd.org" TargetMode="External"/><Relationship Id="rId40" Type="http://schemas.openxmlformats.org/officeDocument/2006/relationships/hyperlink" Target="mailto:aarongo@fhcsd.org" TargetMode="External"/><Relationship Id="rId45" Type="http://schemas.openxmlformats.org/officeDocument/2006/relationships/hyperlink" Target="mailto:mercyc@fhcsd.org" TargetMode="External"/><Relationship Id="rId66" Type="http://schemas.openxmlformats.org/officeDocument/2006/relationships/hyperlink" Target="mailto:aarongo@fhcsd.org" TargetMode="External"/><Relationship Id="rId87" Type="http://schemas.openxmlformats.org/officeDocument/2006/relationships/hyperlink" Target="mailto:maribele@fhcsd.org" TargetMode="External"/><Relationship Id="rId61" Type="http://schemas.openxmlformats.org/officeDocument/2006/relationships/hyperlink" Target="mailto:jocelyng@fhcsd.org" TargetMode="External"/><Relationship Id="rId82" Type="http://schemas.openxmlformats.org/officeDocument/2006/relationships/hyperlink" Target="mailto:daniellet@fhcsd.org" TargetMode="External"/><Relationship Id="rId19" Type="http://schemas.openxmlformats.org/officeDocument/2006/relationships/hyperlink" Target="mailto:mercyc@fhcsd.org" TargetMode="External"/><Relationship Id="rId14" Type="http://schemas.openxmlformats.org/officeDocument/2006/relationships/hyperlink" Target="mailto:maribele@fhcsd.org" TargetMode="External"/><Relationship Id="rId30" Type="http://schemas.openxmlformats.org/officeDocument/2006/relationships/hyperlink" Target="mailto:galias@fhcsd.org" TargetMode="External"/><Relationship Id="rId35" Type="http://schemas.openxmlformats.org/officeDocument/2006/relationships/hyperlink" Target="mailto:daniellet@fhcsd.org" TargetMode="External"/><Relationship Id="rId56" Type="http://schemas.openxmlformats.org/officeDocument/2006/relationships/hyperlink" Target="mailto:maribele@fhcsd.org" TargetMode="External"/><Relationship Id="rId77" Type="http://schemas.openxmlformats.org/officeDocument/2006/relationships/hyperlink" Target="mailto:mercyc@fhcsd.org" TargetMode="External"/><Relationship Id="rId100" Type="http://schemas.openxmlformats.org/officeDocument/2006/relationships/hyperlink" Target="mailto:daniellet@fhcsd.org" TargetMode="External"/><Relationship Id="rId105" Type="http://schemas.openxmlformats.org/officeDocument/2006/relationships/hyperlink" Target="mailto:daniellet@fhcsd.org" TargetMode="External"/><Relationship Id="rId8" Type="http://schemas.openxmlformats.org/officeDocument/2006/relationships/hyperlink" Target="mailto:aarongo@fhcsd.org" TargetMode="External"/><Relationship Id="rId51" Type="http://schemas.openxmlformats.org/officeDocument/2006/relationships/hyperlink" Target="mailto:maribele@fhcsd.org" TargetMode="External"/><Relationship Id="rId72" Type="http://schemas.openxmlformats.org/officeDocument/2006/relationships/hyperlink" Target="mailto:mercyc@fhcsd.org" TargetMode="External"/><Relationship Id="rId93" Type="http://schemas.openxmlformats.org/officeDocument/2006/relationships/hyperlink" Target="mailto:maribele@fhcsd.org" TargetMode="External"/><Relationship Id="rId98" Type="http://schemas.openxmlformats.org/officeDocument/2006/relationships/hyperlink" Target="mailto:maribele@fhcsd.org" TargetMode="External"/><Relationship Id="rId3" Type="http://schemas.openxmlformats.org/officeDocument/2006/relationships/hyperlink" Target="mailto:aarongo@fhcsd.org" TargetMode="External"/><Relationship Id="rId25" Type="http://schemas.openxmlformats.org/officeDocument/2006/relationships/hyperlink" Target="mailto:mercyc@fhcsd.org" TargetMode="External"/><Relationship Id="rId46" Type="http://schemas.openxmlformats.org/officeDocument/2006/relationships/hyperlink" Target="mailto:mercyc@fhcsd.org" TargetMode="External"/><Relationship Id="rId67" Type="http://schemas.openxmlformats.org/officeDocument/2006/relationships/hyperlink" Target="mailto:aarongo@fhcsd.org" TargetMode="External"/><Relationship Id="rId20" Type="http://schemas.openxmlformats.org/officeDocument/2006/relationships/hyperlink" Target="mailto:mercyc@fhcsd.org" TargetMode="External"/><Relationship Id="rId41" Type="http://schemas.openxmlformats.org/officeDocument/2006/relationships/hyperlink" Target="mailto:galias@fhcsd.org" TargetMode="External"/><Relationship Id="rId62" Type="http://schemas.openxmlformats.org/officeDocument/2006/relationships/hyperlink" Target="mailto:jocelyng@fhcsd.org" TargetMode="External"/><Relationship Id="rId83" Type="http://schemas.openxmlformats.org/officeDocument/2006/relationships/hyperlink" Target="mailto:maribele@fhcsd.org" TargetMode="External"/><Relationship Id="rId88" Type="http://schemas.openxmlformats.org/officeDocument/2006/relationships/hyperlink" Target="mailto:maribele@fhcsd.org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mailto:colleenb@fhcsd.org" TargetMode="External"/><Relationship Id="rId13" Type="http://schemas.openxmlformats.org/officeDocument/2006/relationships/hyperlink" Target="mailto:silvia@fhcsd.org" TargetMode="External"/><Relationship Id="rId18" Type="http://schemas.openxmlformats.org/officeDocument/2006/relationships/hyperlink" Target="https://www.federalholidays.net/usa/holiday/labor-day.html" TargetMode="External"/><Relationship Id="rId3" Type="http://schemas.openxmlformats.org/officeDocument/2006/relationships/hyperlink" Target="mailto:maribele@fhcsd.org" TargetMode="External"/><Relationship Id="rId21" Type="http://schemas.openxmlformats.org/officeDocument/2006/relationships/hyperlink" Target="https://www.federalholidays.net/usa/holiday/new-years-day.html" TargetMode="External"/><Relationship Id="rId7" Type="http://schemas.openxmlformats.org/officeDocument/2006/relationships/hyperlink" Target="mailto:leahc@fhcsd.org" TargetMode="External"/><Relationship Id="rId12" Type="http://schemas.openxmlformats.org/officeDocument/2006/relationships/hyperlink" Target="mailto:lindah@fhcsd.org" TargetMode="External"/><Relationship Id="rId17" Type="http://schemas.openxmlformats.org/officeDocument/2006/relationships/hyperlink" Target="https://www.federalholidays.net/usa/holiday/thanksgiving-day.html" TargetMode="External"/><Relationship Id="rId2" Type="http://schemas.openxmlformats.org/officeDocument/2006/relationships/hyperlink" Target="mailto:gwendolynb@fhcsd.org" TargetMode="External"/><Relationship Id="rId16" Type="http://schemas.openxmlformats.org/officeDocument/2006/relationships/hyperlink" Target="https://www.federalholidays.net/usa/holiday/christmas-day.html" TargetMode="External"/><Relationship Id="rId20" Type="http://schemas.openxmlformats.org/officeDocument/2006/relationships/hyperlink" Target="https://www.federalholidays.net/usa/holiday/memorial-day.html" TargetMode="External"/><Relationship Id="rId1" Type="http://schemas.openxmlformats.org/officeDocument/2006/relationships/hyperlink" Target="mailto:clairew@fhcsd.org" TargetMode="External"/><Relationship Id="rId6" Type="http://schemas.openxmlformats.org/officeDocument/2006/relationships/hyperlink" Target="mailto:daliara@fhcsd.org" TargetMode="External"/><Relationship Id="rId11" Type="http://schemas.openxmlformats.org/officeDocument/2006/relationships/hyperlink" Target="mailto:estherc@fhcsd.org" TargetMode="External"/><Relationship Id="rId5" Type="http://schemas.openxmlformats.org/officeDocument/2006/relationships/hyperlink" Target="mailto:andreyp@fhcsd.org" TargetMode="External"/><Relationship Id="rId15" Type="http://schemas.openxmlformats.org/officeDocument/2006/relationships/hyperlink" Target="mailto:edwardwh@fhcsd.org" TargetMode="External"/><Relationship Id="rId10" Type="http://schemas.openxmlformats.org/officeDocument/2006/relationships/hyperlink" Target="mailto:jillianruthh@fhcsd.org" TargetMode="External"/><Relationship Id="rId19" Type="http://schemas.openxmlformats.org/officeDocument/2006/relationships/hyperlink" Target="https://www.federalholidays.net/usa/holiday/independence-day.html" TargetMode="External"/><Relationship Id="rId4" Type="http://schemas.openxmlformats.org/officeDocument/2006/relationships/hyperlink" Target="mailto:mercyc@fhcsd.org" TargetMode="External"/><Relationship Id="rId9" Type="http://schemas.openxmlformats.org/officeDocument/2006/relationships/hyperlink" Target="mailto:irinak@fhcsd.org" TargetMode="External"/><Relationship Id="rId14" Type="http://schemas.openxmlformats.org/officeDocument/2006/relationships/hyperlink" Target="mailto:Sandracor@fhcsd.org" TargetMode="External"/><Relationship Id="rId22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2:O151"/>
  <sheetViews>
    <sheetView topLeftCell="B1" zoomScale="80" zoomScaleNormal="80" workbookViewId="0">
      <pane ySplit="2" topLeftCell="A72" activePane="bottomLeft" state="frozen"/>
      <selection pane="bottomLeft" activeCell="J84" sqref="J84"/>
    </sheetView>
  </sheetViews>
  <sheetFormatPr defaultColWidth="9.08984375" defaultRowHeight="14.5"/>
  <cols>
    <col min="1" max="1" width="26.6328125" customWidth="1"/>
    <col min="2" max="2" width="17" style="1" customWidth="1"/>
    <col min="3" max="3" width="22.36328125" style="1" customWidth="1"/>
    <col min="4" max="4" width="22.54296875" customWidth="1"/>
    <col min="5" max="5" width="18" style="1" customWidth="1"/>
    <col min="6" max="6" width="14.6328125" style="1" customWidth="1"/>
    <col min="7" max="7" width="19.90625" customWidth="1"/>
    <col min="8" max="8" width="22.36328125" style="8" customWidth="1"/>
    <col min="9" max="9" width="25.36328125" style="1" customWidth="1"/>
    <col min="10" max="10" width="28.36328125" style="1" customWidth="1"/>
    <col min="11" max="11" width="46.6328125" style="1" bestFit="1" customWidth="1"/>
    <col min="12" max="12" width="50.36328125" style="1" customWidth="1"/>
    <col min="13" max="13" width="22" style="1" bestFit="1" customWidth="1"/>
    <col min="14" max="14" width="27.90625" style="1" customWidth="1"/>
    <col min="15" max="15" width="30.453125" style="1" customWidth="1"/>
  </cols>
  <sheetData>
    <row r="2" spans="1:15" ht="51">
      <c r="A2" s="10" t="s">
        <v>0</v>
      </c>
      <c r="B2" s="10" t="s">
        <v>1</v>
      </c>
      <c r="C2" s="20" t="s">
        <v>2</v>
      </c>
      <c r="D2" s="20" t="s">
        <v>3</v>
      </c>
      <c r="E2" s="11" t="s">
        <v>4</v>
      </c>
      <c r="F2" s="10" t="s">
        <v>5</v>
      </c>
      <c r="G2" s="11" t="s">
        <v>6</v>
      </c>
      <c r="H2" s="208" t="s">
        <v>7</v>
      </c>
      <c r="I2" s="23" t="s">
        <v>115</v>
      </c>
      <c r="J2" s="84" t="s">
        <v>9</v>
      </c>
      <c r="K2" s="14" t="s">
        <v>10</v>
      </c>
      <c r="L2" s="14" t="s">
        <v>937</v>
      </c>
      <c r="M2" s="14" t="s">
        <v>11</v>
      </c>
      <c r="N2" s="231" t="s">
        <v>12</v>
      </c>
      <c r="O2" s="228" t="s">
        <v>13</v>
      </c>
    </row>
    <row r="3" spans="1:15" ht="14.25" customHeight="1">
      <c r="A3" s="111" t="s">
        <v>852</v>
      </c>
      <c r="B3" s="112">
        <v>100540727</v>
      </c>
      <c r="C3" s="112">
        <v>25359099</v>
      </c>
      <c r="D3" s="111" t="s">
        <v>861</v>
      </c>
      <c r="E3" s="112" t="s">
        <v>40</v>
      </c>
      <c r="F3" s="112">
        <v>2</v>
      </c>
      <c r="G3" s="252" t="s">
        <v>862</v>
      </c>
      <c r="H3" s="113" t="s">
        <v>864</v>
      </c>
      <c r="I3" s="117">
        <v>45946</v>
      </c>
      <c r="J3" s="117">
        <v>46022</v>
      </c>
      <c r="K3" s="253" t="s">
        <v>1099</v>
      </c>
      <c r="L3" s="153" t="s">
        <v>938</v>
      </c>
      <c r="M3" s="254" t="s">
        <v>65</v>
      </c>
      <c r="N3" s="254">
        <v>7017</v>
      </c>
      <c r="O3" s="255" t="s">
        <v>66</v>
      </c>
    </row>
    <row r="4" spans="1:15" ht="14.25" customHeight="1">
      <c r="A4" s="111" t="s">
        <v>851</v>
      </c>
      <c r="B4" s="112">
        <v>100528529</v>
      </c>
      <c r="C4" s="112">
        <v>22810186</v>
      </c>
      <c r="D4" s="111" t="s">
        <v>850</v>
      </c>
      <c r="E4" s="112" t="s">
        <v>40</v>
      </c>
      <c r="F4" s="112">
        <v>2</v>
      </c>
      <c r="G4" s="252" t="s">
        <v>862</v>
      </c>
      <c r="H4" s="113" t="s">
        <v>863</v>
      </c>
      <c r="I4" s="117">
        <v>45824</v>
      </c>
      <c r="J4" s="117">
        <v>45915</v>
      </c>
      <c r="K4" s="253" t="s">
        <v>233</v>
      </c>
      <c r="L4" s="153" t="s">
        <v>938</v>
      </c>
      <c r="M4" s="254" t="s">
        <v>65</v>
      </c>
      <c r="N4" s="254">
        <v>7017</v>
      </c>
      <c r="O4" s="255" t="s">
        <v>66</v>
      </c>
    </row>
    <row r="5" spans="1:15" ht="14.25" customHeight="1">
      <c r="A5" s="3" t="s">
        <v>14</v>
      </c>
      <c r="B5" s="2">
        <v>101308633</v>
      </c>
      <c r="C5" s="2">
        <v>25131430</v>
      </c>
      <c r="D5" s="3" t="s">
        <v>15</v>
      </c>
      <c r="E5" s="2" t="s">
        <v>40</v>
      </c>
      <c r="F5" s="2">
        <v>2</v>
      </c>
      <c r="G5" s="12" t="s">
        <v>1074</v>
      </c>
      <c r="H5" s="6" t="s">
        <v>17</v>
      </c>
      <c r="I5" s="39">
        <v>45994</v>
      </c>
      <c r="J5" s="39">
        <v>46081</v>
      </c>
      <c r="K5" s="40" t="s">
        <v>939</v>
      </c>
      <c r="L5" s="15" t="s">
        <v>1011</v>
      </c>
      <c r="M5" s="2" t="s">
        <v>900</v>
      </c>
      <c r="N5" s="86" t="s">
        <v>19</v>
      </c>
      <c r="O5" s="17" t="s">
        <v>901</v>
      </c>
    </row>
    <row r="6" spans="1:15" s="364" customFormat="1" ht="14" customHeight="1">
      <c r="A6" s="357" t="s">
        <v>27</v>
      </c>
      <c r="B6" s="358">
        <v>100652558</v>
      </c>
      <c r="C6" s="359">
        <v>27102187</v>
      </c>
      <c r="D6" s="357" t="s">
        <v>22</v>
      </c>
      <c r="E6" s="359" t="s">
        <v>28</v>
      </c>
      <c r="F6" s="359">
        <v>2</v>
      </c>
      <c r="G6" s="360" t="s">
        <v>29</v>
      </c>
      <c r="H6" s="361" t="s">
        <v>30</v>
      </c>
      <c r="I6" s="362">
        <v>46029</v>
      </c>
      <c r="J6" s="362">
        <v>46082</v>
      </c>
      <c r="K6" s="363"/>
      <c r="L6" s="363" t="s">
        <v>938</v>
      </c>
      <c r="M6" s="359" t="s">
        <v>595</v>
      </c>
      <c r="N6" s="359">
        <v>7011</v>
      </c>
      <c r="O6" s="17" t="s">
        <v>596</v>
      </c>
    </row>
    <row r="7" spans="1:15" ht="14" customHeight="1">
      <c r="A7" s="3" t="s">
        <v>33</v>
      </c>
      <c r="B7" s="29">
        <v>100375790</v>
      </c>
      <c r="C7" s="2">
        <v>26835405</v>
      </c>
      <c r="D7" s="3" t="s">
        <v>22</v>
      </c>
      <c r="E7" s="2" t="s">
        <v>951</v>
      </c>
      <c r="F7" s="2">
        <v>2</v>
      </c>
      <c r="G7" s="12" t="s">
        <v>200</v>
      </c>
      <c r="H7" s="6" t="s">
        <v>17</v>
      </c>
      <c r="I7" s="30">
        <v>46023</v>
      </c>
      <c r="J7" s="30">
        <v>46142</v>
      </c>
      <c r="K7" s="15"/>
      <c r="L7" s="15" t="s">
        <v>938</v>
      </c>
      <c r="M7" s="2" t="s">
        <v>31</v>
      </c>
      <c r="N7" s="2">
        <v>3705</v>
      </c>
      <c r="O7" s="17" t="s">
        <v>32</v>
      </c>
    </row>
    <row r="8" spans="1:15" ht="14" customHeight="1">
      <c r="A8" s="3" t="s">
        <v>953</v>
      </c>
      <c r="B8" s="240">
        <v>100677194</v>
      </c>
      <c r="C8" s="2">
        <v>25060838</v>
      </c>
      <c r="D8" s="3" t="s">
        <v>952</v>
      </c>
      <c r="E8" s="2" t="s">
        <v>28</v>
      </c>
      <c r="F8" s="2">
        <v>2</v>
      </c>
      <c r="G8" s="12" t="s">
        <v>137</v>
      </c>
      <c r="H8" s="59" t="s">
        <v>954</v>
      </c>
      <c r="I8" s="30">
        <v>45933</v>
      </c>
      <c r="J8" s="30">
        <v>46081</v>
      </c>
      <c r="K8" s="15"/>
      <c r="L8" s="15"/>
      <c r="M8" s="2"/>
      <c r="N8" s="2"/>
      <c r="O8" s="17"/>
    </row>
    <row r="9" spans="1:15" ht="14" customHeight="1">
      <c r="A9" s="3" t="s">
        <v>127</v>
      </c>
      <c r="B9" s="240">
        <v>101304332</v>
      </c>
      <c r="C9" s="2">
        <v>26089949</v>
      </c>
      <c r="D9" s="3" t="s">
        <v>439</v>
      </c>
      <c r="E9" s="2" t="s">
        <v>23</v>
      </c>
      <c r="F9" s="2">
        <v>2</v>
      </c>
      <c r="G9" s="12" t="s">
        <v>960</v>
      </c>
      <c r="H9" s="59" t="s">
        <v>954</v>
      </c>
      <c r="I9" s="30">
        <v>45980</v>
      </c>
      <c r="J9" s="30">
        <v>46081</v>
      </c>
      <c r="K9" s="15"/>
      <c r="L9" s="15"/>
      <c r="M9" s="2"/>
      <c r="N9" s="2"/>
      <c r="O9" s="17"/>
    </row>
    <row r="10" spans="1:15" ht="13.25" customHeight="1">
      <c r="A10" s="3" t="s">
        <v>983</v>
      </c>
      <c r="B10" s="240">
        <v>101294377</v>
      </c>
      <c r="C10" s="2">
        <v>24961917</v>
      </c>
      <c r="D10" s="3" t="s">
        <v>39</v>
      </c>
      <c r="E10" s="2" t="s">
        <v>74</v>
      </c>
      <c r="F10" s="2">
        <v>2</v>
      </c>
      <c r="G10" s="12" t="s">
        <v>817</v>
      </c>
      <c r="H10" s="59" t="s">
        <v>76</v>
      </c>
      <c r="I10" s="30">
        <v>45929</v>
      </c>
      <c r="J10" s="30">
        <v>46104</v>
      </c>
      <c r="K10" s="15"/>
      <c r="L10" s="15"/>
      <c r="M10" s="2"/>
      <c r="N10" s="2"/>
      <c r="O10" s="17"/>
    </row>
    <row r="11" spans="1:15">
      <c r="A11" s="3" t="s">
        <v>874</v>
      </c>
      <c r="B11" s="2">
        <v>101358864</v>
      </c>
      <c r="C11" s="2">
        <v>23773688</v>
      </c>
      <c r="D11" s="3" t="s">
        <v>39</v>
      </c>
      <c r="E11" s="2" t="s">
        <v>48</v>
      </c>
      <c r="F11" s="2">
        <v>2</v>
      </c>
      <c r="G11" s="12" t="s">
        <v>120</v>
      </c>
      <c r="H11" s="6" t="s">
        <v>908</v>
      </c>
      <c r="I11" s="16">
        <v>45873</v>
      </c>
      <c r="J11" s="16">
        <v>46029</v>
      </c>
      <c r="K11" s="40" t="s">
        <v>939</v>
      </c>
      <c r="L11" s="15" t="s">
        <v>1011</v>
      </c>
      <c r="M11" s="2" t="s">
        <v>900</v>
      </c>
      <c r="N11" s="86" t="s">
        <v>19</v>
      </c>
      <c r="O11" s="17" t="s">
        <v>901</v>
      </c>
    </row>
    <row r="12" spans="1:15">
      <c r="A12" s="3" t="s">
        <v>695</v>
      </c>
      <c r="B12" s="2">
        <v>100836743</v>
      </c>
      <c r="C12" s="2">
        <v>22634863</v>
      </c>
      <c r="D12" s="3" t="s">
        <v>958</v>
      </c>
      <c r="E12" s="2" t="s">
        <v>90</v>
      </c>
      <c r="F12" s="2">
        <v>2</v>
      </c>
      <c r="G12" s="3" t="s">
        <v>984</v>
      </c>
      <c r="H12" s="6" t="s">
        <v>49</v>
      </c>
      <c r="I12" s="16">
        <v>45925</v>
      </c>
      <c r="J12" s="16">
        <v>46081</v>
      </c>
      <c r="K12" s="216"/>
      <c r="L12" s="15" t="s">
        <v>938</v>
      </c>
      <c r="M12" s="2" t="s">
        <v>680</v>
      </c>
      <c r="N12" s="2">
        <v>3763</v>
      </c>
      <c r="O12" s="17" t="s">
        <v>681</v>
      </c>
    </row>
    <row r="13" spans="1:15" s="364" customFormat="1">
      <c r="A13" s="357" t="s">
        <v>839</v>
      </c>
      <c r="B13" s="359">
        <v>101412699</v>
      </c>
      <c r="C13" s="359">
        <v>26947990</v>
      </c>
      <c r="D13" s="357" t="s">
        <v>860</v>
      </c>
      <c r="E13" s="359" t="s">
        <v>74</v>
      </c>
      <c r="F13" s="359">
        <v>2</v>
      </c>
      <c r="G13" s="357" t="s">
        <v>795</v>
      </c>
      <c r="H13" s="365" t="s">
        <v>30</v>
      </c>
      <c r="I13" s="366">
        <v>46023</v>
      </c>
      <c r="J13" s="366">
        <v>46173</v>
      </c>
      <c r="K13" s="367"/>
      <c r="L13" s="363" t="s">
        <v>938</v>
      </c>
      <c r="M13" s="359" t="s">
        <v>680</v>
      </c>
      <c r="N13" s="359">
        <v>3763</v>
      </c>
      <c r="O13" s="17" t="s">
        <v>681</v>
      </c>
    </row>
    <row r="14" spans="1:15" s="115" customFormat="1">
      <c r="A14" s="111" t="s">
        <v>853</v>
      </c>
      <c r="B14" s="112">
        <v>100754702</v>
      </c>
      <c r="C14" s="112">
        <v>25602406</v>
      </c>
      <c r="D14" s="113" t="s">
        <v>22</v>
      </c>
      <c r="E14" s="112" t="s">
        <v>23</v>
      </c>
      <c r="F14" s="112">
        <v>2</v>
      </c>
      <c r="G14" s="151" t="s">
        <v>926</v>
      </c>
      <c r="H14" s="209" t="s">
        <v>1022</v>
      </c>
      <c r="I14" s="117">
        <v>45954</v>
      </c>
      <c r="J14" s="117">
        <v>46022</v>
      </c>
      <c r="K14" s="315" t="s">
        <v>829</v>
      </c>
      <c r="L14" s="153" t="s">
        <v>938</v>
      </c>
      <c r="M14" s="112" t="s">
        <v>44</v>
      </c>
      <c r="N14" s="112">
        <v>1707</v>
      </c>
      <c r="O14" s="238" t="s">
        <v>910</v>
      </c>
    </row>
    <row r="15" spans="1:15">
      <c r="A15" s="3" t="s">
        <v>853</v>
      </c>
      <c r="B15" s="2">
        <v>100754702</v>
      </c>
      <c r="C15" s="2">
        <v>25602406</v>
      </c>
      <c r="D15" s="6" t="s">
        <v>42</v>
      </c>
      <c r="E15" s="2" t="s">
        <v>74</v>
      </c>
      <c r="F15" s="2">
        <v>2</v>
      </c>
      <c r="G15" s="59" t="s">
        <v>1021</v>
      </c>
      <c r="H15" s="217" t="s">
        <v>121</v>
      </c>
      <c r="I15" s="39">
        <v>45954</v>
      </c>
      <c r="J15" s="39">
        <v>46022</v>
      </c>
      <c r="K15" s="273"/>
      <c r="L15" s="15" t="s">
        <v>938</v>
      </c>
      <c r="M15" s="2" t="s">
        <v>44</v>
      </c>
      <c r="N15" s="2">
        <v>1707</v>
      </c>
      <c r="O15" s="17" t="s">
        <v>910</v>
      </c>
    </row>
    <row r="16" spans="1:15">
      <c r="A16" s="3" t="s">
        <v>1094</v>
      </c>
      <c r="B16" s="2">
        <v>101391145</v>
      </c>
      <c r="C16" s="2">
        <v>26728263</v>
      </c>
      <c r="D16" s="6" t="s">
        <v>39</v>
      </c>
      <c r="E16" s="2" t="s">
        <v>48</v>
      </c>
      <c r="F16" s="2">
        <v>2</v>
      </c>
      <c r="G16" s="59" t="s">
        <v>959</v>
      </c>
      <c r="H16" s="59" t="s">
        <v>936</v>
      </c>
      <c r="I16" s="39">
        <v>45992</v>
      </c>
      <c r="J16" s="39">
        <v>46170</v>
      </c>
      <c r="K16" s="273"/>
      <c r="L16" s="15"/>
      <c r="M16" s="2"/>
      <c r="N16" s="2"/>
      <c r="O16" s="17"/>
    </row>
    <row r="17" spans="1:15">
      <c r="A17" s="3" t="s">
        <v>931</v>
      </c>
      <c r="B17" s="2">
        <v>100875551</v>
      </c>
      <c r="C17" s="2">
        <v>24211905</v>
      </c>
      <c r="D17" s="3" t="s">
        <v>600</v>
      </c>
      <c r="E17" s="2" t="s">
        <v>74</v>
      </c>
      <c r="F17" s="2">
        <v>2</v>
      </c>
      <c r="G17" s="3" t="s">
        <v>795</v>
      </c>
      <c r="H17" s="59" t="s">
        <v>936</v>
      </c>
      <c r="I17" s="16">
        <v>45890</v>
      </c>
      <c r="J17" s="16">
        <v>45688</v>
      </c>
      <c r="K17" s="2"/>
      <c r="L17" s="15" t="s">
        <v>938</v>
      </c>
      <c r="M17" s="2"/>
      <c r="N17" s="2"/>
      <c r="O17" s="17"/>
    </row>
    <row r="18" spans="1:15" ht="15.5" customHeight="1">
      <c r="A18" s="3" t="s">
        <v>943</v>
      </c>
      <c r="B18" s="43">
        <v>101422408</v>
      </c>
      <c r="C18" s="2">
        <v>24329694</v>
      </c>
      <c r="D18" s="3" t="s">
        <v>952</v>
      </c>
      <c r="E18" s="2" t="s">
        <v>48</v>
      </c>
      <c r="F18" s="2">
        <v>2</v>
      </c>
      <c r="G18" s="3" t="s">
        <v>506</v>
      </c>
      <c r="H18" s="217" t="s">
        <v>121</v>
      </c>
      <c r="I18" s="16">
        <v>45898</v>
      </c>
      <c r="J18" s="16">
        <v>46056</v>
      </c>
      <c r="K18" s="216"/>
      <c r="L18" s="15"/>
      <c r="M18" s="216"/>
      <c r="N18" s="216"/>
      <c r="O18" s="17"/>
    </row>
    <row r="19" spans="1:15">
      <c r="A19" s="3" t="s">
        <v>920</v>
      </c>
      <c r="B19" s="43">
        <v>100895931</v>
      </c>
      <c r="C19" s="2">
        <v>26668023</v>
      </c>
      <c r="D19" s="3" t="s">
        <v>970</v>
      </c>
      <c r="E19" s="2" t="s">
        <v>43</v>
      </c>
      <c r="F19" s="2">
        <v>2</v>
      </c>
      <c r="G19" s="3" t="s">
        <v>964</v>
      </c>
      <c r="H19" s="6" t="s">
        <v>1034</v>
      </c>
      <c r="I19" s="16">
        <v>46008</v>
      </c>
      <c r="J19" s="16">
        <v>46081</v>
      </c>
      <c r="K19" s="216"/>
      <c r="L19" s="15" t="s">
        <v>938</v>
      </c>
      <c r="M19" s="216"/>
      <c r="N19" s="343"/>
      <c r="O19" s="17"/>
    </row>
    <row r="20" spans="1:15">
      <c r="A20" s="3" t="s">
        <v>920</v>
      </c>
      <c r="B20" s="43">
        <v>100895931</v>
      </c>
      <c r="C20" s="2">
        <v>26668023</v>
      </c>
      <c r="D20" s="3" t="s">
        <v>970</v>
      </c>
      <c r="E20" s="2" t="s">
        <v>43</v>
      </c>
      <c r="F20" s="2">
        <v>2</v>
      </c>
      <c r="G20" s="3" t="s">
        <v>1092</v>
      </c>
      <c r="H20" s="6" t="s">
        <v>1093</v>
      </c>
      <c r="I20" s="16">
        <v>46008</v>
      </c>
      <c r="J20" s="16">
        <v>46081</v>
      </c>
      <c r="K20" s="216"/>
      <c r="L20" s="15" t="s">
        <v>938</v>
      </c>
      <c r="M20" s="216"/>
      <c r="N20" s="343"/>
      <c r="O20" s="17"/>
    </row>
    <row r="21" spans="1:15">
      <c r="A21" s="3" t="s">
        <v>46</v>
      </c>
      <c r="B21" s="2">
        <v>101306395</v>
      </c>
      <c r="C21" s="2">
        <v>26792309</v>
      </c>
      <c r="D21" s="52" t="s">
        <v>1066</v>
      </c>
      <c r="E21" s="2" t="s">
        <v>23</v>
      </c>
      <c r="F21" s="2">
        <v>2</v>
      </c>
      <c r="G21" s="3" t="s">
        <v>24</v>
      </c>
      <c r="H21" s="6" t="s">
        <v>47</v>
      </c>
      <c r="I21" s="16">
        <v>46013</v>
      </c>
      <c r="J21" s="16">
        <v>46142</v>
      </c>
      <c r="K21" s="2"/>
      <c r="L21" s="15" t="s">
        <v>938</v>
      </c>
      <c r="M21" s="2"/>
      <c r="N21" s="2"/>
      <c r="O21" s="17"/>
    </row>
    <row r="22" spans="1:15">
      <c r="A22" s="52" t="s">
        <v>50</v>
      </c>
      <c r="B22" s="43">
        <v>100038800</v>
      </c>
      <c r="C22" s="43">
        <v>20793289</v>
      </c>
      <c r="D22" s="52" t="s">
        <v>689</v>
      </c>
      <c r="E22" s="2" t="s">
        <v>67</v>
      </c>
      <c r="F22" s="2">
        <v>2</v>
      </c>
      <c r="G22" s="12" t="s">
        <v>142</v>
      </c>
      <c r="H22" s="217" t="s">
        <v>53</v>
      </c>
      <c r="I22" s="16">
        <v>45915</v>
      </c>
      <c r="J22" s="16">
        <v>46053</v>
      </c>
      <c r="K22" s="61" t="s">
        <v>662</v>
      </c>
      <c r="L22" s="15" t="s">
        <v>938</v>
      </c>
      <c r="M22" s="2" t="s">
        <v>25</v>
      </c>
      <c r="N22" s="2">
        <v>5940</v>
      </c>
      <c r="O22" s="17" t="s">
        <v>26</v>
      </c>
    </row>
    <row r="23" spans="1:15">
      <c r="A23" s="52" t="s">
        <v>50</v>
      </c>
      <c r="B23" s="43">
        <v>100038800</v>
      </c>
      <c r="C23" s="43">
        <v>20793289</v>
      </c>
      <c r="D23" s="52" t="s">
        <v>689</v>
      </c>
      <c r="E23" s="2" t="s">
        <v>67</v>
      </c>
      <c r="F23" s="2">
        <v>2</v>
      </c>
      <c r="G23" s="12" t="s">
        <v>142</v>
      </c>
      <c r="H23" s="217" t="s">
        <v>80</v>
      </c>
      <c r="I23" s="16">
        <v>45915</v>
      </c>
      <c r="J23" s="16">
        <v>46053</v>
      </c>
      <c r="K23" s="61" t="s">
        <v>662</v>
      </c>
      <c r="L23" s="15" t="s">
        <v>938</v>
      </c>
      <c r="M23" s="2" t="s">
        <v>25</v>
      </c>
      <c r="N23" s="2">
        <v>5940</v>
      </c>
      <c r="O23" s="17" t="s">
        <v>26</v>
      </c>
    </row>
    <row r="24" spans="1:15">
      <c r="A24" s="52" t="s">
        <v>50</v>
      </c>
      <c r="B24" s="43">
        <v>100038800</v>
      </c>
      <c r="C24" s="43">
        <v>20793289</v>
      </c>
      <c r="D24" s="52" t="s">
        <v>22</v>
      </c>
      <c r="E24" s="2" t="s">
        <v>503</v>
      </c>
      <c r="F24" s="2">
        <v>2</v>
      </c>
      <c r="G24" s="12" t="s">
        <v>520</v>
      </c>
      <c r="H24" s="217" t="s">
        <v>53</v>
      </c>
      <c r="I24" s="16">
        <v>45915</v>
      </c>
      <c r="J24" s="16">
        <v>46053</v>
      </c>
      <c r="K24" s="61" t="s">
        <v>662</v>
      </c>
      <c r="L24" s="15" t="s">
        <v>938</v>
      </c>
      <c r="M24" s="2" t="s">
        <v>25</v>
      </c>
      <c r="N24" s="2">
        <v>5940</v>
      </c>
      <c r="O24" s="17" t="s">
        <v>26</v>
      </c>
    </row>
    <row r="25" spans="1:15">
      <c r="A25" s="52" t="s">
        <v>50</v>
      </c>
      <c r="B25" s="43">
        <v>100038800</v>
      </c>
      <c r="C25" s="43">
        <v>20793289</v>
      </c>
      <c r="D25" s="52" t="s">
        <v>22</v>
      </c>
      <c r="E25" s="2" t="s">
        <v>503</v>
      </c>
      <c r="F25" s="2">
        <v>2</v>
      </c>
      <c r="G25" s="12" t="s">
        <v>520</v>
      </c>
      <c r="H25" s="217" t="s">
        <v>80</v>
      </c>
      <c r="I25" s="16">
        <v>45915</v>
      </c>
      <c r="J25" s="16">
        <v>46053</v>
      </c>
      <c r="K25" s="61" t="s">
        <v>662</v>
      </c>
      <c r="L25" s="15" t="s">
        <v>938</v>
      </c>
      <c r="M25" s="2" t="s">
        <v>25</v>
      </c>
      <c r="N25" s="2">
        <v>5940</v>
      </c>
      <c r="O25" s="17" t="s">
        <v>26</v>
      </c>
    </row>
    <row r="26" spans="1:15" s="364" customFormat="1">
      <c r="A26" s="357" t="s">
        <v>849</v>
      </c>
      <c r="B26" s="359">
        <v>101375560</v>
      </c>
      <c r="C26" s="359">
        <v>26792866</v>
      </c>
      <c r="D26" s="365" t="s">
        <v>970</v>
      </c>
      <c r="E26" s="359" t="s">
        <v>1118</v>
      </c>
      <c r="F26" s="359">
        <v>2</v>
      </c>
      <c r="G26" s="361" t="s">
        <v>1119</v>
      </c>
      <c r="H26" s="357" t="s">
        <v>80</v>
      </c>
      <c r="I26" s="368">
        <v>46029</v>
      </c>
      <c r="J26" s="368">
        <v>46054</v>
      </c>
      <c r="K26" s="369"/>
      <c r="L26" s="363" t="s">
        <v>938</v>
      </c>
      <c r="M26" s="359" t="s">
        <v>44</v>
      </c>
      <c r="N26" s="359">
        <v>1707</v>
      </c>
      <c r="O26" s="17" t="s">
        <v>910</v>
      </c>
    </row>
    <row r="27" spans="1:15">
      <c r="A27" s="3" t="s">
        <v>831</v>
      </c>
      <c r="B27" s="2">
        <v>101289778</v>
      </c>
      <c r="C27" s="2" t="s">
        <v>1045</v>
      </c>
      <c r="D27" s="6" t="s">
        <v>1066</v>
      </c>
      <c r="E27" s="2" t="s">
        <v>48</v>
      </c>
      <c r="F27" s="2">
        <v>2</v>
      </c>
      <c r="G27" s="59" t="s">
        <v>29</v>
      </c>
      <c r="H27" s="6" t="s">
        <v>47</v>
      </c>
      <c r="I27" s="39">
        <v>46023</v>
      </c>
      <c r="J27" s="39">
        <v>46142</v>
      </c>
      <c r="K27" s="40"/>
      <c r="M27" s="2" t="s">
        <v>899</v>
      </c>
      <c r="N27" s="86" t="s">
        <v>151</v>
      </c>
      <c r="O27" s="17" t="s">
        <v>902</v>
      </c>
    </row>
    <row r="28" spans="1:15">
      <c r="A28" s="3" t="s">
        <v>55</v>
      </c>
      <c r="B28" s="2">
        <v>101360806</v>
      </c>
      <c r="C28" s="2">
        <v>18749853</v>
      </c>
      <c r="D28" s="3" t="s">
        <v>439</v>
      </c>
      <c r="E28" s="2"/>
      <c r="F28" s="2"/>
      <c r="G28" s="12"/>
      <c r="H28" s="217"/>
      <c r="I28" s="16">
        <v>45580</v>
      </c>
      <c r="J28" s="16">
        <v>45747</v>
      </c>
      <c r="K28" s="42" t="s">
        <v>56</v>
      </c>
      <c r="L28" s="15" t="s">
        <v>1011</v>
      </c>
      <c r="M28" s="2" t="s">
        <v>899</v>
      </c>
      <c r="N28" s="86" t="s">
        <v>151</v>
      </c>
      <c r="O28" s="17" t="s">
        <v>902</v>
      </c>
    </row>
    <row r="29" spans="1:15">
      <c r="A29" s="3" t="s">
        <v>873</v>
      </c>
      <c r="B29" s="2">
        <v>101403930</v>
      </c>
      <c r="C29" s="2">
        <v>25060742</v>
      </c>
      <c r="D29" s="3" t="s">
        <v>1066</v>
      </c>
      <c r="E29" s="2" t="s">
        <v>74</v>
      </c>
      <c r="F29" s="2">
        <v>2</v>
      </c>
      <c r="G29" s="59" t="s">
        <v>82</v>
      </c>
      <c r="H29" s="217" t="s">
        <v>53</v>
      </c>
      <c r="I29" s="39">
        <v>45933</v>
      </c>
      <c r="J29" s="39">
        <v>46081</v>
      </c>
      <c r="K29" s="40" t="s">
        <v>939</v>
      </c>
      <c r="L29" s="15" t="s">
        <v>1011</v>
      </c>
      <c r="M29" s="2" t="s">
        <v>899</v>
      </c>
      <c r="N29" s="86" t="s">
        <v>151</v>
      </c>
      <c r="O29" s="17" t="s">
        <v>902</v>
      </c>
    </row>
    <row r="30" spans="1:15" ht="14.25" customHeight="1">
      <c r="A30" s="3" t="s">
        <v>153</v>
      </c>
      <c r="B30" s="2">
        <v>100151102</v>
      </c>
      <c r="C30" s="2">
        <v>22928116</v>
      </c>
      <c r="D30" s="6" t="s">
        <v>850</v>
      </c>
      <c r="E30" s="2" t="s">
        <v>74</v>
      </c>
      <c r="F30" s="2">
        <v>2</v>
      </c>
      <c r="G30" s="59" t="s">
        <v>200</v>
      </c>
      <c r="H30" s="6" t="s">
        <v>49</v>
      </c>
      <c r="I30" s="39">
        <v>45832</v>
      </c>
      <c r="J30" s="39">
        <v>46014</v>
      </c>
      <c r="K30" s="40"/>
      <c r="L30" s="15" t="s">
        <v>938</v>
      </c>
      <c r="M30" s="2" t="s">
        <v>595</v>
      </c>
      <c r="N30" s="2">
        <v>7011</v>
      </c>
      <c r="O30" s="17" t="s">
        <v>596</v>
      </c>
    </row>
    <row r="31" spans="1:15" ht="14.25" customHeight="1">
      <c r="A31" s="3" t="s">
        <v>154</v>
      </c>
      <c r="B31" s="2">
        <v>100798512</v>
      </c>
      <c r="C31" s="2">
        <v>25854959</v>
      </c>
      <c r="D31" s="6" t="s">
        <v>861</v>
      </c>
      <c r="E31" s="2" t="s">
        <v>40</v>
      </c>
      <c r="F31" s="2">
        <v>2</v>
      </c>
      <c r="G31" s="59" t="s">
        <v>1037</v>
      </c>
      <c r="H31" s="6" t="s">
        <v>985</v>
      </c>
      <c r="I31" s="32">
        <v>45968</v>
      </c>
      <c r="J31" s="32">
        <v>46173</v>
      </c>
      <c r="K31" s="2"/>
      <c r="L31" s="15" t="s">
        <v>938</v>
      </c>
      <c r="M31" s="2" t="s">
        <v>595</v>
      </c>
      <c r="N31" s="2">
        <v>7011</v>
      </c>
      <c r="O31" s="17" t="s">
        <v>596</v>
      </c>
    </row>
    <row r="32" spans="1:15" ht="14.25" customHeight="1">
      <c r="A32" s="3" t="s">
        <v>157</v>
      </c>
      <c r="B32" s="2">
        <v>100367273</v>
      </c>
      <c r="C32" s="2">
        <v>23924378</v>
      </c>
      <c r="D32" s="6" t="s">
        <v>917</v>
      </c>
      <c r="E32" s="2" t="s">
        <v>37</v>
      </c>
      <c r="F32" s="2">
        <v>4</v>
      </c>
      <c r="G32" s="59" t="s">
        <v>140</v>
      </c>
      <c r="H32" s="217" t="s">
        <v>918</v>
      </c>
      <c r="I32" s="16">
        <v>45854</v>
      </c>
      <c r="J32" s="16">
        <v>46037</v>
      </c>
      <c r="K32" s="44"/>
      <c r="L32" s="15" t="s">
        <v>938</v>
      </c>
      <c r="M32" s="2" t="s">
        <v>680</v>
      </c>
      <c r="N32" s="2">
        <v>3763</v>
      </c>
      <c r="O32" s="17" t="s">
        <v>681</v>
      </c>
    </row>
    <row r="33" spans="1:15" ht="15.65" customHeight="1">
      <c r="A33" s="158" t="s">
        <v>848</v>
      </c>
      <c r="B33" s="159">
        <v>100829155</v>
      </c>
      <c r="C33" s="159">
        <v>26703685</v>
      </c>
      <c r="D33" s="299" t="s">
        <v>63</v>
      </c>
      <c r="E33" s="159" t="s">
        <v>23</v>
      </c>
      <c r="F33" s="159">
        <v>2</v>
      </c>
      <c r="G33" s="300" t="s">
        <v>692</v>
      </c>
      <c r="H33" s="300" t="s">
        <v>696</v>
      </c>
      <c r="I33" s="266">
        <v>46008</v>
      </c>
      <c r="J33" s="266">
        <v>46022</v>
      </c>
      <c r="K33" s="159" t="s">
        <v>1091</v>
      </c>
      <c r="L33" s="267" t="s">
        <v>938</v>
      </c>
      <c r="M33" s="159"/>
      <c r="N33" s="159"/>
      <c r="O33" s="301"/>
    </row>
    <row r="34" spans="1:15" ht="15.65" customHeight="1">
      <c r="A34" s="158" t="s">
        <v>848</v>
      </c>
      <c r="B34" s="159">
        <v>100829155</v>
      </c>
      <c r="C34" s="159">
        <v>26703685</v>
      </c>
      <c r="D34" s="299" t="s">
        <v>917</v>
      </c>
      <c r="E34" s="159" t="s">
        <v>23</v>
      </c>
      <c r="F34" s="159">
        <v>2</v>
      </c>
      <c r="G34" s="300" t="s">
        <v>692</v>
      </c>
      <c r="H34" s="300" t="s">
        <v>696</v>
      </c>
      <c r="I34" s="266">
        <v>45939</v>
      </c>
      <c r="J34" s="266">
        <v>46022</v>
      </c>
      <c r="K34" s="159" t="s">
        <v>1091</v>
      </c>
      <c r="L34" s="267" t="s">
        <v>938</v>
      </c>
      <c r="M34" s="159"/>
      <c r="N34" s="159"/>
      <c r="O34" s="301"/>
    </row>
    <row r="35" spans="1:15" ht="15.65" customHeight="1">
      <c r="A35" s="3" t="s">
        <v>284</v>
      </c>
      <c r="B35" s="2">
        <v>100796423</v>
      </c>
      <c r="C35" s="2">
        <v>23535030</v>
      </c>
      <c r="D35" s="6" t="s">
        <v>898</v>
      </c>
      <c r="E35" s="2" t="s">
        <v>74</v>
      </c>
      <c r="F35" s="2">
        <v>2</v>
      </c>
      <c r="G35" s="59" t="s">
        <v>895</v>
      </c>
      <c r="H35" s="59" t="s">
        <v>808</v>
      </c>
      <c r="I35" s="39">
        <v>45919</v>
      </c>
      <c r="J35" s="39">
        <v>46081</v>
      </c>
      <c r="K35" s="233"/>
      <c r="L35" s="15" t="s">
        <v>938</v>
      </c>
      <c r="M35" s="2" t="s">
        <v>610</v>
      </c>
      <c r="N35" s="2">
        <v>7012</v>
      </c>
      <c r="O35" s="17" t="s">
        <v>614</v>
      </c>
    </row>
    <row r="36" spans="1:15">
      <c r="A36" s="3" t="s">
        <v>57</v>
      </c>
      <c r="B36" s="2">
        <v>100694449</v>
      </c>
      <c r="C36" s="2">
        <v>23967101</v>
      </c>
      <c r="D36" s="3" t="s">
        <v>429</v>
      </c>
      <c r="E36" s="2" t="s">
        <v>40</v>
      </c>
      <c r="F36" s="2">
        <v>4</v>
      </c>
      <c r="G36" s="12" t="s">
        <v>589</v>
      </c>
      <c r="H36" s="217" t="s">
        <v>59</v>
      </c>
      <c r="I36" s="16">
        <v>45887</v>
      </c>
      <c r="J36" s="16">
        <v>46053</v>
      </c>
      <c r="K36" s="61"/>
      <c r="L36" s="15" t="s">
        <v>938</v>
      </c>
      <c r="M36" s="2" t="s">
        <v>595</v>
      </c>
      <c r="N36" s="2">
        <v>7011</v>
      </c>
      <c r="O36" s="17" t="s">
        <v>596</v>
      </c>
    </row>
    <row r="37" spans="1:15">
      <c r="A37" s="3" t="s">
        <v>57</v>
      </c>
      <c r="B37" s="2">
        <v>100694449</v>
      </c>
      <c r="C37" s="2">
        <v>23967101</v>
      </c>
      <c r="D37" s="3" t="s">
        <v>22</v>
      </c>
      <c r="E37" s="2" t="s">
        <v>48</v>
      </c>
      <c r="F37" s="2">
        <v>4</v>
      </c>
      <c r="G37" s="12" t="s">
        <v>95</v>
      </c>
      <c r="H37" s="217" t="s">
        <v>59</v>
      </c>
      <c r="I37" s="16">
        <v>45887</v>
      </c>
      <c r="J37" s="16">
        <v>46053</v>
      </c>
      <c r="K37" s="61"/>
      <c r="L37" s="15" t="s">
        <v>938</v>
      </c>
      <c r="M37" s="2" t="s">
        <v>595</v>
      </c>
      <c r="N37" s="2">
        <v>7011</v>
      </c>
      <c r="O37" s="17" t="s">
        <v>596</v>
      </c>
    </row>
    <row r="38" spans="1:15" s="364" customFormat="1" ht="15" customHeight="1">
      <c r="A38" s="357" t="s">
        <v>166</v>
      </c>
      <c r="B38" s="359">
        <v>100113365</v>
      </c>
      <c r="C38" s="359">
        <v>26916545</v>
      </c>
      <c r="D38" s="365" t="s">
        <v>63</v>
      </c>
      <c r="E38" s="359" t="s">
        <v>48</v>
      </c>
      <c r="F38" s="359">
        <v>2</v>
      </c>
      <c r="G38" s="361" t="s">
        <v>1065</v>
      </c>
      <c r="H38" s="361" t="s">
        <v>1034</v>
      </c>
      <c r="I38" s="368">
        <v>46027</v>
      </c>
      <c r="J38" s="368">
        <v>46203</v>
      </c>
      <c r="K38" s="369"/>
      <c r="L38" s="359" t="s">
        <v>25</v>
      </c>
      <c r="M38" s="359">
        <v>5940</v>
      </c>
      <c r="N38" s="17" t="s">
        <v>26</v>
      </c>
    </row>
    <row r="39" spans="1:15" s="364" customFormat="1" ht="15" customHeight="1">
      <c r="A39" s="357" t="s">
        <v>166</v>
      </c>
      <c r="B39" s="359">
        <v>100113365</v>
      </c>
      <c r="C39" s="359">
        <v>26916545</v>
      </c>
      <c r="D39" s="365" t="s">
        <v>63</v>
      </c>
      <c r="E39" s="359" t="s">
        <v>1104</v>
      </c>
      <c r="F39" s="359">
        <v>2</v>
      </c>
      <c r="G39" s="361" t="s">
        <v>1105</v>
      </c>
      <c r="H39" s="361" t="s">
        <v>1093</v>
      </c>
      <c r="I39" s="368">
        <v>46027</v>
      </c>
      <c r="J39" s="368">
        <v>46203</v>
      </c>
      <c r="K39" s="369"/>
      <c r="L39" s="359"/>
      <c r="M39" s="359"/>
      <c r="N39" s="17"/>
    </row>
    <row r="40" spans="1:15" s="364" customFormat="1" ht="15" customHeight="1">
      <c r="A40" s="357" t="s">
        <v>166</v>
      </c>
      <c r="B40" s="359">
        <v>100113365</v>
      </c>
      <c r="C40" s="359">
        <v>26916545</v>
      </c>
      <c r="D40" s="365" t="s">
        <v>897</v>
      </c>
      <c r="E40" s="359" t="s">
        <v>40</v>
      </c>
      <c r="F40" s="359">
        <v>2</v>
      </c>
      <c r="G40" s="361" t="s">
        <v>1103</v>
      </c>
      <c r="H40" s="361" t="s">
        <v>156</v>
      </c>
      <c r="I40" s="368">
        <v>46027</v>
      </c>
      <c r="J40" s="368">
        <v>46203</v>
      </c>
      <c r="K40" s="369"/>
      <c r="L40" s="359" t="s">
        <v>25</v>
      </c>
      <c r="M40" s="359">
        <v>5940</v>
      </c>
      <c r="N40" s="17" t="s">
        <v>26</v>
      </c>
    </row>
    <row r="41" spans="1:15">
      <c r="A41" s="51" t="s">
        <v>1055</v>
      </c>
      <c r="B41" s="47">
        <v>101314884</v>
      </c>
      <c r="C41" s="47">
        <v>26242512</v>
      </c>
      <c r="D41" s="51" t="s">
        <v>1066</v>
      </c>
      <c r="E41" s="2" t="s">
        <v>48</v>
      </c>
      <c r="F41" s="2">
        <v>2</v>
      </c>
      <c r="G41" s="12" t="s">
        <v>137</v>
      </c>
      <c r="H41" s="217" t="s">
        <v>1067</v>
      </c>
      <c r="I41" s="16">
        <v>45986</v>
      </c>
      <c r="J41" s="16">
        <v>46173</v>
      </c>
      <c r="K41" s="61"/>
      <c r="L41" s="15"/>
      <c r="M41" s="2"/>
      <c r="N41" s="2"/>
      <c r="O41" s="17"/>
    </row>
    <row r="42" spans="1:15">
      <c r="A42" s="51" t="s">
        <v>61</v>
      </c>
      <c r="B42" s="47">
        <v>100895521</v>
      </c>
      <c r="C42" s="47">
        <v>25846981</v>
      </c>
      <c r="D42" s="56" t="s">
        <v>42</v>
      </c>
      <c r="E42" s="2" t="s">
        <v>67</v>
      </c>
      <c r="F42" s="2">
        <v>2</v>
      </c>
      <c r="G42" s="59" t="s">
        <v>815</v>
      </c>
      <c r="H42" s="59" t="s">
        <v>809</v>
      </c>
      <c r="I42" s="39">
        <v>45967</v>
      </c>
      <c r="J42" s="39">
        <v>46173</v>
      </c>
      <c r="K42" s="61"/>
      <c r="L42" s="15" t="s">
        <v>938</v>
      </c>
      <c r="M42" s="2" t="s">
        <v>610</v>
      </c>
      <c r="N42" s="2">
        <v>5140</v>
      </c>
      <c r="O42" s="17" t="s">
        <v>614</v>
      </c>
    </row>
    <row r="43" spans="1:15">
      <c r="A43" s="111" t="s">
        <v>176</v>
      </c>
      <c r="B43" s="112">
        <v>101130294</v>
      </c>
      <c r="C43" s="112">
        <v>21134917</v>
      </c>
      <c r="D43" s="113" t="s">
        <v>432</v>
      </c>
      <c r="E43" s="112" t="s">
        <v>160</v>
      </c>
      <c r="F43" s="112">
        <v>2</v>
      </c>
      <c r="G43" s="151" t="s">
        <v>24</v>
      </c>
      <c r="H43" s="209" t="s">
        <v>59</v>
      </c>
      <c r="I43" s="117">
        <v>45741</v>
      </c>
      <c r="J43" s="117">
        <v>45802</v>
      </c>
      <c r="K43" s="114" t="s">
        <v>233</v>
      </c>
      <c r="L43" s="15" t="s">
        <v>938</v>
      </c>
      <c r="M43" s="112" t="s">
        <v>31</v>
      </c>
      <c r="N43" s="2">
        <v>3705</v>
      </c>
      <c r="O43" s="17" t="s">
        <v>32</v>
      </c>
    </row>
    <row r="44" spans="1:15">
      <c r="A44" s="111" t="s">
        <v>176</v>
      </c>
      <c r="B44" s="112">
        <v>101130294</v>
      </c>
      <c r="C44" s="112">
        <v>21134917</v>
      </c>
      <c r="D44" s="113" t="s">
        <v>432</v>
      </c>
      <c r="E44" s="112" t="s">
        <v>160</v>
      </c>
      <c r="F44" s="112">
        <v>2</v>
      </c>
      <c r="G44" s="151" t="s">
        <v>24</v>
      </c>
      <c r="H44" s="151" t="s">
        <v>603</v>
      </c>
      <c r="I44" s="117">
        <v>45741</v>
      </c>
      <c r="J44" s="117">
        <v>45802</v>
      </c>
      <c r="K44" s="114" t="s">
        <v>233</v>
      </c>
      <c r="L44" s="15" t="s">
        <v>938</v>
      </c>
      <c r="M44" s="112" t="s">
        <v>31</v>
      </c>
      <c r="N44" s="2">
        <v>3705</v>
      </c>
      <c r="O44" s="17" t="s">
        <v>32</v>
      </c>
    </row>
    <row r="45" spans="1:15">
      <c r="A45" s="111" t="s">
        <v>176</v>
      </c>
      <c r="B45" s="112">
        <v>101130294</v>
      </c>
      <c r="C45" s="112">
        <v>21134917</v>
      </c>
      <c r="D45" s="113" t="s">
        <v>647</v>
      </c>
      <c r="E45" s="112" t="s">
        <v>160</v>
      </c>
      <c r="F45" s="112">
        <v>2</v>
      </c>
      <c r="G45" s="151" t="s">
        <v>95</v>
      </c>
      <c r="H45" s="151" t="s">
        <v>676</v>
      </c>
      <c r="I45" s="117">
        <v>45741</v>
      </c>
      <c r="J45" s="117">
        <v>45802</v>
      </c>
      <c r="K45" s="114" t="s">
        <v>233</v>
      </c>
      <c r="L45" s="15" t="s">
        <v>938</v>
      </c>
      <c r="M45" s="112" t="s">
        <v>31</v>
      </c>
      <c r="N45" s="2">
        <v>3706</v>
      </c>
      <c r="O45" s="17" t="s">
        <v>32</v>
      </c>
    </row>
    <row r="46" spans="1:15">
      <c r="A46" s="111" t="s">
        <v>176</v>
      </c>
      <c r="B46" s="112">
        <v>101130294</v>
      </c>
      <c r="C46" s="112">
        <v>21134917</v>
      </c>
      <c r="D46" s="113" t="s">
        <v>604</v>
      </c>
      <c r="E46" s="112" t="s">
        <v>48</v>
      </c>
      <c r="F46" s="112">
        <v>2</v>
      </c>
      <c r="G46" s="151" t="s">
        <v>98</v>
      </c>
      <c r="H46" s="209" t="s">
        <v>675</v>
      </c>
      <c r="I46" s="117">
        <v>45741</v>
      </c>
      <c r="J46" s="117">
        <v>45802</v>
      </c>
      <c r="K46" s="114" t="s">
        <v>233</v>
      </c>
      <c r="L46" s="15" t="s">
        <v>938</v>
      </c>
      <c r="M46" s="112" t="s">
        <v>31</v>
      </c>
      <c r="N46" s="2">
        <v>3705</v>
      </c>
      <c r="O46" s="17" t="s">
        <v>32</v>
      </c>
    </row>
    <row r="47" spans="1:15">
      <c r="A47" s="111" t="s">
        <v>176</v>
      </c>
      <c r="B47" s="112">
        <v>101130294</v>
      </c>
      <c r="C47" s="112">
        <v>21134917</v>
      </c>
      <c r="D47" s="113" t="s">
        <v>604</v>
      </c>
      <c r="E47" s="112" t="s">
        <v>48</v>
      </c>
      <c r="F47" s="112">
        <v>2</v>
      </c>
      <c r="G47" s="151" t="s">
        <v>98</v>
      </c>
      <c r="H47" s="209" t="s">
        <v>102</v>
      </c>
      <c r="I47" s="117">
        <v>45741</v>
      </c>
      <c r="J47" s="117">
        <v>45802</v>
      </c>
      <c r="K47" s="114" t="s">
        <v>233</v>
      </c>
      <c r="L47" s="15" t="s">
        <v>938</v>
      </c>
      <c r="M47" s="112" t="s">
        <v>31</v>
      </c>
      <c r="N47" s="2">
        <v>3706</v>
      </c>
      <c r="O47" s="17" t="s">
        <v>32</v>
      </c>
    </row>
    <row r="48" spans="1:15">
      <c r="A48" s="111" t="s">
        <v>176</v>
      </c>
      <c r="B48" s="112">
        <v>101130294</v>
      </c>
      <c r="C48" s="112">
        <v>21134917</v>
      </c>
      <c r="D48" s="113" t="s">
        <v>604</v>
      </c>
      <c r="E48" s="112" t="s">
        <v>48</v>
      </c>
      <c r="F48" s="112">
        <v>2</v>
      </c>
      <c r="G48" s="151" t="s">
        <v>98</v>
      </c>
      <c r="H48" s="151" t="s">
        <v>603</v>
      </c>
      <c r="I48" s="117">
        <v>45741</v>
      </c>
      <c r="J48" s="117">
        <v>45802</v>
      </c>
      <c r="K48" s="114" t="s">
        <v>233</v>
      </c>
      <c r="L48" s="15" t="s">
        <v>938</v>
      </c>
      <c r="M48" s="112" t="s">
        <v>31</v>
      </c>
      <c r="N48" s="2">
        <v>3707</v>
      </c>
      <c r="O48" s="17" t="s">
        <v>32</v>
      </c>
    </row>
    <row r="49" spans="1:15">
      <c r="A49" s="3" t="s">
        <v>62</v>
      </c>
      <c r="B49" s="2">
        <v>101357732</v>
      </c>
      <c r="C49" s="2">
        <v>24865208</v>
      </c>
      <c r="D49" s="6" t="s">
        <v>22</v>
      </c>
      <c r="E49" s="2" t="s">
        <v>74</v>
      </c>
      <c r="F49" s="2">
        <v>4</v>
      </c>
      <c r="G49" s="59" t="s">
        <v>1089</v>
      </c>
      <c r="H49" s="59" t="s">
        <v>903</v>
      </c>
      <c r="I49" s="39">
        <v>45924</v>
      </c>
      <c r="J49" s="82">
        <v>46054</v>
      </c>
      <c r="K49" s="61"/>
      <c r="L49" s="15" t="s">
        <v>938</v>
      </c>
      <c r="M49" s="2" t="s">
        <v>25</v>
      </c>
      <c r="N49" s="2">
        <v>5940</v>
      </c>
      <c r="O49" s="17" t="s">
        <v>26</v>
      </c>
    </row>
    <row r="50" spans="1:15">
      <c r="A50" s="3" t="s">
        <v>62</v>
      </c>
      <c r="B50" s="2">
        <v>101357732</v>
      </c>
      <c r="C50" s="2">
        <v>24865208</v>
      </c>
      <c r="D50" s="6" t="s">
        <v>740</v>
      </c>
      <c r="E50" s="2" t="s">
        <v>48</v>
      </c>
      <c r="F50" s="2">
        <v>4</v>
      </c>
      <c r="G50" s="59" t="s">
        <v>98</v>
      </c>
      <c r="H50" s="59" t="s">
        <v>903</v>
      </c>
      <c r="I50" s="39">
        <v>45924</v>
      </c>
      <c r="J50" s="82">
        <v>46054</v>
      </c>
      <c r="K50" s="61"/>
      <c r="L50" s="15" t="s">
        <v>938</v>
      </c>
      <c r="M50" s="2" t="s">
        <v>25</v>
      </c>
      <c r="N50" s="2">
        <v>5940</v>
      </c>
      <c r="O50" s="17" t="s">
        <v>26</v>
      </c>
    </row>
    <row r="51" spans="1:15">
      <c r="A51" s="3" t="s">
        <v>690</v>
      </c>
      <c r="B51" s="2">
        <v>101342735</v>
      </c>
      <c r="C51" s="2">
        <v>25167096</v>
      </c>
      <c r="D51" s="6" t="s">
        <v>39</v>
      </c>
      <c r="E51" s="2" t="s">
        <v>74</v>
      </c>
      <c r="F51" s="2">
        <v>2</v>
      </c>
      <c r="G51" s="59" t="s">
        <v>75</v>
      </c>
      <c r="H51" s="59" t="s">
        <v>696</v>
      </c>
      <c r="I51" s="16">
        <v>45929</v>
      </c>
      <c r="J51" s="16">
        <v>46112</v>
      </c>
      <c r="K51" s="42"/>
      <c r="L51" s="15" t="s">
        <v>1012</v>
      </c>
      <c r="M51" s="2" t="s">
        <v>899</v>
      </c>
      <c r="N51" s="86" t="s">
        <v>151</v>
      </c>
      <c r="O51" s="17" t="s">
        <v>902</v>
      </c>
    </row>
    <row r="52" spans="1:15">
      <c r="A52" s="51" t="s">
        <v>922</v>
      </c>
      <c r="B52" s="47">
        <v>100037979</v>
      </c>
      <c r="C52" s="47">
        <v>26783838</v>
      </c>
      <c r="D52" s="56" t="s">
        <v>22</v>
      </c>
      <c r="E52" s="2" t="s">
        <v>74</v>
      </c>
      <c r="F52" s="47">
        <v>4</v>
      </c>
      <c r="G52" s="58" t="s">
        <v>817</v>
      </c>
      <c r="H52" s="59" t="s">
        <v>903</v>
      </c>
      <c r="I52" s="49">
        <v>46013</v>
      </c>
      <c r="J52" s="49">
        <v>46053</v>
      </c>
      <c r="K52" s="61"/>
      <c r="L52" s="15"/>
      <c r="M52" s="2"/>
      <c r="N52" s="86"/>
      <c r="O52" s="17"/>
    </row>
    <row r="53" spans="1:15">
      <c r="A53" s="51" t="s">
        <v>947</v>
      </c>
      <c r="B53" s="47">
        <v>101410148</v>
      </c>
      <c r="C53" s="47">
        <v>26372271</v>
      </c>
      <c r="D53" s="56" t="s">
        <v>1017</v>
      </c>
      <c r="E53" s="2" t="s">
        <v>48</v>
      </c>
      <c r="F53" s="47">
        <v>2</v>
      </c>
      <c r="G53" s="58" t="s">
        <v>34</v>
      </c>
      <c r="H53" s="59" t="s">
        <v>986</v>
      </c>
      <c r="I53" s="49">
        <v>45995</v>
      </c>
      <c r="J53" s="49">
        <v>46140</v>
      </c>
      <c r="K53" s="61"/>
      <c r="L53" s="15"/>
      <c r="M53" s="2"/>
      <c r="N53" s="86"/>
      <c r="O53" s="17"/>
    </row>
    <row r="54" spans="1:15">
      <c r="A54" s="51" t="s">
        <v>888</v>
      </c>
      <c r="B54" s="47">
        <v>100971762</v>
      </c>
      <c r="C54" s="47">
        <v>23413860</v>
      </c>
      <c r="D54" s="56" t="s">
        <v>860</v>
      </c>
      <c r="E54" s="2" t="s">
        <v>48</v>
      </c>
      <c r="F54" s="47">
        <v>2</v>
      </c>
      <c r="G54" s="58" t="s">
        <v>506</v>
      </c>
      <c r="H54" s="59" t="s">
        <v>808</v>
      </c>
      <c r="I54" s="60">
        <v>45855</v>
      </c>
      <c r="J54" s="49">
        <v>46038</v>
      </c>
      <c r="K54" s="61"/>
      <c r="L54" s="15" t="s">
        <v>938</v>
      </c>
      <c r="M54" s="2" t="s">
        <v>595</v>
      </c>
      <c r="N54" s="2">
        <v>7011</v>
      </c>
      <c r="O54" s="17" t="s">
        <v>596</v>
      </c>
    </row>
    <row r="55" spans="1:15">
      <c r="A55" s="3" t="s">
        <v>191</v>
      </c>
      <c r="B55" s="2">
        <v>101109951</v>
      </c>
      <c r="C55" s="2">
        <v>26841855</v>
      </c>
      <c r="D55" s="6" t="s">
        <v>850</v>
      </c>
      <c r="E55" s="2" t="s">
        <v>40</v>
      </c>
      <c r="F55" s="2">
        <v>2</v>
      </c>
      <c r="G55" s="59" t="s">
        <v>1014</v>
      </c>
      <c r="H55" s="6" t="s">
        <v>819</v>
      </c>
      <c r="I55" s="39">
        <v>46023</v>
      </c>
      <c r="J55" s="39">
        <v>46142</v>
      </c>
      <c r="K55" s="42"/>
      <c r="M55" s="2" t="s">
        <v>65</v>
      </c>
      <c r="N55" s="2">
        <v>7017</v>
      </c>
      <c r="O55" s="17" t="s">
        <v>66</v>
      </c>
    </row>
    <row r="56" spans="1:15" s="364" customFormat="1">
      <c r="A56" s="357" t="s">
        <v>190</v>
      </c>
      <c r="B56" s="359">
        <v>100132204</v>
      </c>
      <c r="C56" s="359">
        <v>27102768</v>
      </c>
      <c r="D56" s="365" t="s">
        <v>740</v>
      </c>
      <c r="E56" s="359" t="s">
        <v>40</v>
      </c>
      <c r="F56" s="359">
        <v>2</v>
      </c>
      <c r="G56" s="361" t="s">
        <v>1013</v>
      </c>
      <c r="H56" s="361" t="s">
        <v>916</v>
      </c>
      <c r="I56" s="368">
        <v>46029</v>
      </c>
      <c r="J56" s="368">
        <v>46143</v>
      </c>
      <c r="K56" s="369"/>
      <c r="L56" s="370"/>
      <c r="M56" s="363" t="s">
        <v>65</v>
      </c>
      <c r="N56" s="359">
        <v>7017</v>
      </c>
      <c r="O56" s="31" t="s">
        <v>66</v>
      </c>
    </row>
    <row r="57" spans="1:15">
      <c r="A57" s="51" t="s">
        <v>838</v>
      </c>
      <c r="B57" s="47"/>
      <c r="C57" s="47"/>
      <c r="D57" s="56"/>
      <c r="E57" s="47"/>
      <c r="F57" s="47"/>
      <c r="G57" s="58"/>
      <c r="H57" s="58"/>
      <c r="I57" s="60">
        <v>45730</v>
      </c>
      <c r="J57" s="60" t="s">
        <v>797</v>
      </c>
      <c r="K57" s="61" t="s">
        <v>665</v>
      </c>
      <c r="L57" s="15" t="s">
        <v>938</v>
      </c>
      <c r="M57" s="15"/>
      <c r="N57" s="15"/>
      <c r="O57" s="31"/>
    </row>
    <row r="58" spans="1:15">
      <c r="A58" s="280" t="s">
        <v>1024</v>
      </c>
      <c r="B58" s="281">
        <v>101325326</v>
      </c>
      <c r="C58" s="281">
        <v>25609768</v>
      </c>
      <c r="D58" s="282" t="s">
        <v>439</v>
      </c>
      <c r="E58" s="281" t="s">
        <v>48</v>
      </c>
      <c r="F58" s="281">
        <v>1</v>
      </c>
      <c r="G58" s="283" t="s">
        <v>29</v>
      </c>
      <c r="H58" s="283" t="s">
        <v>121</v>
      </c>
      <c r="I58" s="284">
        <v>45958</v>
      </c>
      <c r="J58" s="284">
        <v>46053</v>
      </c>
      <c r="K58" s="285" t="s">
        <v>896</v>
      </c>
      <c r="L58" s="286"/>
      <c r="M58" s="286"/>
      <c r="N58" s="286"/>
      <c r="O58" s="287"/>
    </row>
    <row r="59" spans="1:15">
      <c r="A59" s="63" t="s">
        <v>507</v>
      </c>
      <c r="B59" s="232">
        <v>101380059</v>
      </c>
      <c r="C59" s="232">
        <v>20532609</v>
      </c>
      <c r="D59" s="221" t="s">
        <v>39</v>
      </c>
      <c r="E59" s="232"/>
      <c r="F59" s="232"/>
      <c r="G59" s="221"/>
      <c r="H59" s="249"/>
      <c r="I59" s="251">
        <v>45708</v>
      </c>
      <c r="J59" s="251">
        <v>45746</v>
      </c>
      <c r="K59" s="233" t="s">
        <v>56</v>
      </c>
      <c r="L59" s="15" t="s">
        <v>1011</v>
      </c>
      <c r="M59" s="2" t="s">
        <v>900</v>
      </c>
      <c r="N59" s="86" t="s">
        <v>19</v>
      </c>
      <c r="O59" s="17" t="s">
        <v>901</v>
      </c>
    </row>
    <row r="60" spans="1:15" s="55" customFormat="1">
      <c r="A60" s="63" t="s">
        <v>645</v>
      </c>
      <c r="B60" s="2">
        <v>101380052</v>
      </c>
      <c r="C60" s="2">
        <v>20539093</v>
      </c>
      <c r="D60" s="6"/>
      <c r="E60" s="2"/>
      <c r="F60" s="2"/>
      <c r="G60" s="59"/>
      <c r="H60" s="59"/>
      <c r="I60" s="39">
        <v>45708</v>
      </c>
      <c r="J60" s="39">
        <v>45777</v>
      </c>
      <c r="K60" s="215" t="s">
        <v>56</v>
      </c>
      <c r="L60" s="15" t="s">
        <v>1011</v>
      </c>
      <c r="M60" s="2" t="s">
        <v>900</v>
      </c>
      <c r="N60" s="86" t="s">
        <v>19</v>
      </c>
      <c r="O60" s="17" t="s">
        <v>901</v>
      </c>
    </row>
    <row r="61" spans="1:15" s="55" customFormat="1">
      <c r="A61" s="63" t="s">
        <v>955</v>
      </c>
      <c r="B61" s="86">
        <v>100925580</v>
      </c>
      <c r="C61" s="86">
        <v>24462033</v>
      </c>
      <c r="D61" s="19" t="s">
        <v>861</v>
      </c>
      <c r="E61" s="2" t="s">
        <v>48</v>
      </c>
      <c r="F61" s="232">
        <v>2</v>
      </c>
      <c r="G61" s="221" t="s">
        <v>897</v>
      </c>
      <c r="H61" s="73"/>
      <c r="I61" s="141">
        <v>45905</v>
      </c>
      <c r="J61" s="82">
        <v>45690</v>
      </c>
      <c r="K61" s="233"/>
      <c r="L61" s="15" t="s">
        <v>938</v>
      </c>
      <c r="M61" s="2"/>
      <c r="N61" s="86"/>
      <c r="O61" s="17"/>
    </row>
    <row r="62" spans="1:15">
      <c r="A62" s="111" t="s">
        <v>73</v>
      </c>
      <c r="B62" s="112">
        <v>101282546</v>
      </c>
      <c r="C62" s="112">
        <v>22517579</v>
      </c>
      <c r="D62" s="111" t="s">
        <v>970</v>
      </c>
      <c r="E62" s="219" t="s">
        <v>74</v>
      </c>
      <c r="F62" s="219">
        <v>2</v>
      </c>
      <c r="G62" s="243" t="s">
        <v>75</v>
      </c>
      <c r="H62" s="113" t="s">
        <v>76</v>
      </c>
      <c r="I62" s="244">
        <v>45810</v>
      </c>
      <c r="J62" s="152">
        <v>45993</v>
      </c>
      <c r="K62" s="245" t="s">
        <v>896</v>
      </c>
      <c r="L62" s="153" t="s">
        <v>938</v>
      </c>
      <c r="M62" s="112" t="s">
        <v>595</v>
      </c>
      <c r="N62" s="246">
        <v>7011</v>
      </c>
      <c r="O62" s="238" t="s">
        <v>45</v>
      </c>
    </row>
    <row r="63" spans="1:15">
      <c r="A63" s="111" t="s">
        <v>73</v>
      </c>
      <c r="B63" s="112">
        <v>101282546</v>
      </c>
      <c r="C63" s="112">
        <v>22517579</v>
      </c>
      <c r="D63" s="111" t="s">
        <v>970</v>
      </c>
      <c r="E63" s="219" t="s">
        <v>37</v>
      </c>
      <c r="F63" s="219">
        <v>2</v>
      </c>
      <c r="G63" s="243" t="s">
        <v>77</v>
      </c>
      <c r="H63" s="220" t="s">
        <v>53</v>
      </c>
      <c r="I63" s="244">
        <v>45810</v>
      </c>
      <c r="J63" s="152">
        <v>45993</v>
      </c>
      <c r="K63" s="245" t="s">
        <v>896</v>
      </c>
      <c r="L63" s="153" t="s">
        <v>938</v>
      </c>
      <c r="M63" s="112" t="s">
        <v>595</v>
      </c>
      <c r="N63" s="246">
        <v>7011</v>
      </c>
      <c r="O63" s="238" t="s">
        <v>45</v>
      </c>
    </row>
    <row r="64" spans="1:15">
      <c r="A64" s="51" t="s">
        <v>1001</v>
      </c>
      <c r="B64" s="47">
        <v>101303098</v>
      </c>
      <c r="C64" s="47">
        <v>25068353</v>
      </c>
      <c r="D64" s="3" t="s">
        <v>1077</v>
      </c>
      <c r="E64" s="47" t="s">
        <v>48</v>
      </c>
      <c r="F64" s="47">
        <v>2</v>
      </c>
      <c r="G64" s="48" t="s">
        <v>120</v>
      </c>
      <c r="H64" s="56" t="s">
        <v>53</v>
      </c>
      <c r="I64" s="49">
        <v>45936</v>
      </c>
      <c r="J64" s="49">
        <v>46053</v>
      </c>
      <c r="K64" s="50"/>
      <c r="L64" s="15"/>
      <c r="M64" s="2"/>
      <c r="N64" s="86"/>
      <c r="O64" s="17"/>
    </row>
    <row r="65" spans="1:15">
      <c r="A65" s="51" t="s">
        <v>78</v>
      </c>
      <c r="B65" s="47">
        <v>101327304</v>
      </c>
      <c r="C65" s="47">
        <v>24030192</v>
      </c>
      <c r="D65" s="3" t="s">
        <v>740</v>
      </c>
      <c r="E65" s="47" t="s">
        <v>40</v>
      </c>
      <c r="F65" s="47">
        <v>2</v>
      </c>
      <c r="G65" s="48" t="s">
        <v>923</v>
      </c>
      <c r="H65" s="56" t="s">
        <v>106</v>
      </c>
      <c r="I65" s="49">
        <v>45992</v>
      </c>
      <c r="J65" s="49">
        <v>46203</v>
      </c>
      <c r="K65" s="2"/>
      <c r="L65" s="15" t="s">
        <v>938</v>
      </c>
      <c r="M65" s="2" t="s">
        <v>680</v>
      </c>
      <c r="N65" s="2">
        <v>3763</v>
      </c>
      <c r="O65" s="17" t="s">
        <v>681</v>
      </c>
    </row>
    <row r="66" spans="1:15">
      <c r="A66" s="51" t="s">
        <v>78</v>
      </c>
      <c r="B66" s="47">
        <v>101327304</v>
      </c>
      <c r="C66" s="47">
        <v>24030192</v>
      </c>
      <c r="D66" s="3" t="s">
        <v>740</v>
      </c>
      <c r="E66" s="47" t="s">
        <v>74</v>
      </c>
      <c r="F66" s="47">
        <v>3</v>
      </c>
      <c r="G66" s="48" t="s">
        <v>817</v>
      </c>
      <c r="H66" s="56" t="s">
        <v>876</v>
      </c>
      <c r="I66" s="49">
        <v>45992</v>
      </c>
      <c r="J66" s="49">
        <v>46203</v>
      </c>
      <c r="K66" s="2"/>
      <c r="L66" s="15" t="s">
        <v>938</v>
      </c>
      <c r="M66" s="2" t="s">
        <v>680</v>
      </c>
      <c r="N66" s="2">
        <v>3763</v>
      </c>
      <c r="O66" s="17" t="s">
        <v>681</v>
      </c>
    </row>
    <row r="67" spans="1:15">
      <c r="A67" s="51" t="s">
        <v>78</v>
      </c>
      <c r="B67" s="47">
        <v>101327304</v>
      </c>
      <c r="C67" s="47">
        <v>24030192</v>
      </c>
      <c r="D67" s="3" t="s">
        <v>898</v>
      </c>
      <c r="E67" s="47" t="s">
        <v>74</v>
      </c>
      <c r="F67" s="47">
        <v>3</v>
      </c>
      <c r="G67" s="48" t="s">
        <v>867</v>
      </c>
      <c r="H67" s="56" t="s">
        <v>876</v>
      </c>
      <c r="I67" s="49">
        <v>45992</v>
      </c>
      <c r="J67" s="49">
        <v>46203</v>
      </c>
      <c r="K67" s="2"/>
      <c r="L67" s="15" t="s">
        <v>938</v>
      </c>
      <c r="M67" s="2" t="s">
        <v>680</v>
      </c>
      <c r="N67" s="2">
        <v>3763</v>
      </c>
      <c r="O67" s="17" t="s">
        <v>681</v>
      </c>
    </row>
    <row r="68" spans="1:15">
      <c r="A68" s="51" t="s">
        <v>78</v>
      </c>
      <c r="B68" s="47">
        <v>101327304</v>
      </c>
      <c r="C68" s="47">
        <v>24030192</v>
      </c>
      <c r="D68" s="3" t="s">
        <v>860</v>
      </c>
      <c r="E68" s="47" t="s">
        <v>43</v>
      </c>
      <c r="F68" s="47">
        <v>2</v>
      </c>
      <c r="G68" s="48" t="s">
        <v>16</v>
      </c>
      <c r="H68" s="56" t="s">
        <v>870</v>
      </c>
      <c r="I68" s="49">
        <v>45887</v>
      </c>
      <c r="J68" s="49">
        <v>45991</v>
      </c>
      <c r="K68" s="2"/>
      <c r="L68" s="15" t="s">
        <v>938</v>
      </c>
      <c r="M68" s="2" t="s">
        <v>680</v>
      </c>
      <c r="N68" s="2">
        <v>3763</v>
      </c>
      <c r="O68" s="17" t="s">
        <v>681</v>
      </c>
    </row>
    <row r="69" spans="1:15">
      <c r="A69" s="51" t="s">
        <v>957</v>
      </c>
      <c r="B69" s="47">
        <v>101367437</v>
      </c>
      <c r="C69" s="47">
        <v>24532584</v>
      </c>
      <c r="D69" s="3" t="s">
        <v>958</v>
      </c>
      <c r="E69" s="47" t="s">
        <v>48</v>
      </c>
      <c r="F69" s="47">
        <v>2</v>
      </c>
      <c r="G69" s="48" t="s">
        <v>959</v>
      </c>
      <c r="H69" s="56" t="s">
        <v>822</v>
      </c>
      <c r="I69" s="49">
        <v>45909</v>
      </c>
      <c r="J69" s="49">
        <v>46112</v>
      </c>
      <c r="K69" s="2"/>
      <c r="L69" s="15"/>
      <c r="M69" s="2"/>
      <c r="N69" s="2"/>
      <c r="O69" s="17"/>
    </row>
    <row r="70" spans="1:15">
      <c r="A70" s="51" t="s">
        <v>79</v>
      </c>
      <c r="B70" s="47">
        <v>101315283</v>
      </c>
      <c r="C70" s="47">
        <v>25377175</v>
      </c>
      <c r="D70" s="3" t="s">
        <v>439</v>
      </c>
      <c r="E70" s="47" t="s">
        <v>23</v>
      </c>
      <c r="F70" s="47">
        <v>2</v>
      </c>
      <c r="G70" s="48" t="s">
        <v>24</v>
      </c>
      <c r="H70" s="59" t="s">
        <v>80</v>
      </c>
      <c r="I70" s="16">
        <v>45947</v>
      </c>
      <c r="J70" s="16">
        <v>46081</v>
      </c>
      <c r="K70" s="40" t="s">
        <v>939</v>
      </c>
      <c r="L70" s="15" t="s">
        <v>1011</v>
      </c>
      <c r="M70" s="2" t="s">
        <v>899</v>
      </c>
      <c r="N70" s="86" t="s">
        <v>151</v>
      </c>
      <c r="O70" s="17" t="s">
        <v>902</v>
      </c>
    </row>
    <row r="71" spans="1:15">
      <c r="A71" s="51" t="s">
        <v>979</v>
      </c>
      <c r="B71" s="47">
        <v>101425459</v>
      </c>
      <c r="C71" s="47">
        <v>24827093</v>
      </c>
      <c r="D71" s="3" t="s">
        <v>439</v>
      </c>
      <c r="E71" s="47" t="s">
        <v>48</v>
      </c>
      <c r="F71" s="47">
        <v>2</v>
      </c>
      <c r="G71" s="48" t="s">
        <v>1015</v>
      </c>
      <c r="H71" s="59" t="s">
        <v>1016</v>
      </c>
      <c r="I71" s="16">
        <v>45870</v>
      </c>
      <c r="J71" s="16">
        <v>46053</v>
      </c>
      <c r="K71" s="40"/>
      <c r="L71" s="15" t="s">
        <v>1011</v>
      </c>
      <c r="M71" s="2" t="s">
        <v>899</v>
      </c>
      <c r="N71" s="86" t="s">
        <v>151</v>
      </c>
      <c r="O71" s="17" t="s">
        <v>902</v>
      </c>
    </row>
    <row r="72" spans="1:15">
      <c r="A72" s="51" t="s">
        <v>972</v>
      </c>
      <c r="B72" s="47">
        <v>101398029</v>
      </c>
      <c r="C72" s="47">
        <v>24582586</v>
      </c>
      <c r="D72" s="3" t="s">
        <v>1066</v>
      </c>
      <c r="E72" s="47" t="s">
        <v>74</v>
      </c>
      <c r="F72" s="47">
        <v>2</v>
      </c>
      <c r="G72" s="48" t="s">
        <v>973</v>
      </c>
      <c r="H72" s="59" t="s">
        <v>76</v>
      </c>
      <c r="I72" s="16">
        <v>45911</v>
      </c>
      <c r="J72" s="16">
        <v>46081</v>
      </c>
      <c r="K72" s="40"/>
      <c r="L72" s="15" t="s">
        <v>1011</v>
      </c>
      <c r="M72" s="15"/>
      <c r="N72" s="86"/>
      <c r="O72" s="31"/>
    </row>
    <row r="73" spans="1:15">
      <c r="A73" s="51" t="s">
        <v>971</v>
      </c>
      <c r="B73" s="47">
        <v>101398032</v>
      </c>
      <c r="C73" s="47">
        <v>24559631</v>
      </c>
      <c r="D73" s="3" t="s">
        <v>1066</v>
      </c>
      <c r="E73" s="47" t="s">
        <v>48</v>
      </c>
      <c r="F73" s="47">
        <v>2</v>
      </c>
      <c r="G73" s="48" t="s">
        <v>120</v>
      </c>
      <c r="H73" s="59" t="s">
        <v>30</v>
      </c>
      <c r="I73" s="16">
        <v>45910</v>
      </c>
      <c r="J73" s="16">
        <v>46081</v>
      </c>
      <c r="K73" s="40"/>
      <c r="L73" s="15" t="s">
        <v>1011</v>
      </c>
      <c r="M73" s="15"/>
      <c r="N73" s="86"/>
      <c r="O73" s="31"/>
    </row>
    <row r="74" spans="1:15" ht="14.25" customHeight="1">
      <c r="A74" s="3" t="s">
        <v>201</v>
      </c>
      <c r="B74" s="2">
        <v>100330360</v>
      </c>
      <c r="C74" s="2">
        <v>25166869</v>
      </c>
      <c r="D74" s="6" t="s">
        <v>429</v>
      </c>
      <c r="E74" s="2" t="s">
        <v>90</v>
      </c>
      <c r="F74" s="2">
        <v>2</v>
      </c>
      <c r="G74" s="6" t="s">
        <v>1007</v>
      </c>
      <c r="H74" s="59" t="s">
        <v>1009</v>
      </c>
      <c r="I74" s="16">
        <v>45938</v>
      </c>
      <c r="J74" s="16">
        <v>46112</v>
      </c>
      <c r="K74" s="40"/>
      <c r="L74" s="15" t="s">
        <v>938</v>
      </c>
      <c r="M74" s="15" t="s">
        <v>31</v>
      </c>
      <c r="N74" s="86">
        <v>3705</v>
      </c>
      <c r="O74" s="31" t="s">
        <v>32</v>
      </c>
    </row>
    <row r="75" spans="1:15" ht="14.25" customHeight="1">
      <c r="A75" s="3" t="s">
        <v>201</v>
      </c>
      <c r="B75" s="2">
        <v>100330360</v>
      </c>
      <c r="C75" s="2">
        <v>25166869</v>
      </c>
      <c r="D75" s="6" t="s">
        <v>600</v>
      </c>
      <c r="E75" s="2" t="s">
        <v>40</v>
      </c>
      <c r="F75" s="2">
        <v>2</v>
      </c>
      <c r="G75" s="6" t="s">
        <v>1008</v>
      </c>
      <c r="H75" s="59" t="s">
        <v>1009</v>
      </c>
      <c r="I75" s="16">
        <v>45938</v>
      </c>
      <c r="J75" s="16">
        <v>46112</v>
      </c>
      <c r="K75" s="40"/>
      <c r="L75" s="15" t="s">
        <v>938</v>
      </c>
      <c r="M75" s="15" t="s">
        <v>31</v>
      </c>
      <c r="N75" s="86">
        <v>3705</v>
      </c>
      <c r="O75" s="31" t="s">
        <v>32</v>
      </c>
    </row>
    <row r="76" spans="1:15" ht="14.25" customHeight="1">
      <c r="A76" s="3" t="s">
        <v>201</v>
      </c>
      <c r="B76" s="2">
        <v>100330360</v>
      </c>
      <c r="C76" s="2">
        <v>25166869</v>
      </c>
      <c r="D76" s="6" t="s">
        <v>600</v>
      </c>
      <c r="E76" s="2" t="s">
        <v>40</v>
      </c>
      <c r="F76" s="2">
        <v>2</v>
      </c>
      <c r="G76" s="6" t="s">
        <v>1006</v>
      </c>
      <c r="H76" s="59" t="s">
        <v>1010</v>
      </c>
      <c r="I76" s="16">
        <v>45938</v>
      </c>
      <c r="J76" s="16">
        <v>46112</v>
      </c>
      <c r="K76" s="40"/>
      <c r="L76" s="15" t="s">
        <v>938</v>
      </c>
      <c r="M76" s="15" t="s">
        <v>31</v>
      </c>
      <c r="N76" s="86">
        <v>3705</v>
      </c>
      <c r="O76" s="31" t="s">
        <v>32</v>
      </c>
    </row>
    <row r="77" spans="1:15">
      <c r="A77" s="221" t="s">
        <v>833</v>
      </c>
      <c r="B77" s="2">
        <v>101400312</v>
      </c>
      <c r="C77" s="47">
        <v>26259216</v>
      </c>
      <c r="D77" s="3" t="s">
        <v>432</v>
      </c>
      <c r="E77" s="47" t="s">
        <v>74</v>
      </c>
      <c r="F77" s="47">
        <v>3</v>
      </c>
      <c r="G77" s="48" t="s">
        <v>906</v>
      </c>
      <c r="H77" s="6" t="s">
        <v>834</v>
      </c>
      <c r="I77" s="16">
        <v>45990</v>
      </c>
      <c r="J77" s="16">
        <v>46053</v>
      </c>
      <c r="K77" s="2"/>
      <c r="L77" s="15" t="s">
        <v>938</v>
      </c>
      <c r="M77" s="2" t="s">
        <v>610</v>
      </c>
      <c r="N77" s="2">
        <v>5140</v>
      </c>
      <c r="O77" s="17" t="s">
        <v>611</v>
      </c>
    </row>
    <row r="78" spans="1:15" s="364" customFormat="1">
      <c r="A78" s="371" t="s">
        <v>1114</v>
      </c>
      <c r="B78" s="359">
        <v>101306186</v>
      </c>
      <c r="C78" s="372">
        <v>27067862</v>
      </c>
      <c r="D78" s="357" t="s">
        <v>897</v>
      </c>
      <c r="E78" s="372" t="s">
        <v>74</v>
      </c>
      <c r="F78" s="372">
        <v>2</v>
      </c>
      <c r="G78" s="373" t="s">
        <v>897</v>
      </c>
      <c r="H78" s="365" t="s">
        <v>897</v>
      </c>
      <c r="I78" s="366">
        <v>46028</v>
      </c>
      <c r="J78" s="366">
        <v>46173</v>
      </c>
      <c r="K78" s="359"/>
      <c r="L78" s="363"/>
      <c r="M78" s="359"/>
      <c r="N78" s="359"/>
      <c r="O78" s="17"/>
    </row>
    <row r="79" spans="1:15" s="364" customFormat="1">
      <c r="A79" s="371" t="s">
        <v>1110</v>
      </c>
      <c r="B79" s="359">
        <v>101363949</v>
      </c>
      <c r="C79" s="372">
        <v>27032960</v>
      </c>
      <c r="D79" s="357" t="s">
        <v>439</v>
      </c>
      <c r="E79" s="372" t="s">
        <v>48</v>
      </c>
      <c r="F79" s="372">
        <v>2</v>
      </c>
      <c r="G79" s="373" t="s">
        <v>82</v>
      </c>
      <c r="H79" s="365" t="s">
        <v>1111</v>
      </c>
      <c r="I79" s="366">
        <v>46027</v>
      </c>
      <c r="J79" s="366">
        <v>46203</v>
      </c>
      <c r="K79" s="359"/>
      <c r="L79" s="363"/>
      <c r="M79" s="359"/>
      <c r="N79" s="359"/>
      <c r="O79" s="17"/>
    </row>
    <row r="80" spans="1:15" s="364" customFormat="1">
      <c r="A80" s="357" t="s">
        <v>205</v>
      </c>
      <c r="B80" s="359">
        <v>100118436</v>
      </c>
      <c r="C80" s="359">
        <v>25566856</v>
      </c>
      <c r="D80" s="365" t="s">
        <v>740</v>
      </c>
      <c r="E80" s="359" t="s">
        <v>74</v>
      </c>
      <c r="F80" s="359">
        <v>2</v>
      </c>
      <c r="G80" s="361" t="s">
        <v>949</v>
      </c>
      <c r="H80" s="361" t="s">
        <v>80</v>
      </c>
      <c r="I80" s="366">
        <v>46023</v>
      </c>
      <c r="J80" s="366">
        <v>46142</v>
      </c>
      <c r="K80" s="374"/>
      <c r="L80" s="363" t="s">
        <v>938</v>
      </c>
      <c r="M80" s="359" t="s">
        <v>31</v>
      </c>
      <c r="N80" s="359">
        <v>3706</v>
      </c>
      <c r="O80" s="17" t="s">
        <v>32</v>
      </c>
    </row>
    <row r="81" spans="1:15" s="364" customFormat="1">
      <c r="A81" s="375" t="s">
        <v>84</v>
      </c>
      <c r="B81" s="372">
        <v>101306713</v>
      </c>
      <c r="C81" s="372">
        <v>26930141</v>
      </c>
      <c r="D81" s="357" t="s">
        <v>39</v>
      </c>
      <c r="E81" s="359" t="s">
        <v>48</v>
      </c>
      <c r="F81" s="372">
        <v>2</v>
      </c>
      <c r="G81" s="373" t="s">
        <v>741</v>
      </c>
      <c r="H81" s="376" t="s">
        <v>890</v>
      </c>
      <c r="I81" s="366">
        <v>45658</v>
      </c>
      <c r="J81" s="366">
        <v>46173</v>
      </c>
      <c r="K81" s="377" t="s">
        <v>939</v>
      </c>
      <c r="L81" s="363" t="s">
        <v>1011</v>
      </c>
      <c r="M81" s="359" t="s">
        <v>900</v>
      </c>
      <c r="N81" s="378" t="s">
        <v>19</v>
      </c>
      <c r="O81" s="17" t="s">
        <v>901</v>
      </c>
    </row>
    <row r="82" spans="1:15" s="364" customFormat="1">
      <c r="A82" s="357" t="s">
        <v>208</v>
      </c>
      <c r="B82" s="359">
        <v>100969485</v>
      </c>
      <c r="C82" s="359">
        <v>26895706</v>
      </c>
      <c r="D82" s="365" t="s">
        <v>432</v>
      </c>
      <c r="E82" s="359" t="s">
        <v>40</v>
      </c>
      <c r="F82" s="359">
        <v>2</v>
      </c>
      <c r="G82" s="361" t="s">
        <v>649</v>
      </c>
      <c r="H82" s="365" t="s">
        <v>822</v>
      </c>
      <c r="I82" s="366">
        <v>46023</v>
      </c>
      <c r="J82" s="366">
        <v>46203</v>
      </c>
      <c r="K82" s="379"/>
      <c r="L82" s="363" t="s">
        <v>938</v>
      </c>
      <c r="M82" s="359" t="s">
        <v>610</v>
      </c>
      <c r="N82" s="359">
        <v>5140</v>
      </c>
      <c r="O82" s="17" t="s">
        <v>611</v>
      </c>
    </row>
    <row r="83" spans="1:15" s="237" customFormat="1">
      <c r="A83" s="142" t="s">
        <v>678</v>
      </c>
      <c r="B83" s="143">
        <v>101195355</v>
      </c>
      <c r="C83" s="143">
        <v>26822753</v>
      </c>
      <c r="D83" s="258" t="s">
        <v>961</v>
      </c>
      <c r="E83" s="143" t="s">
        <v>52</v>
      </c>
      <c r="F83" s="143">
        <v>2</v>
      </c>
      <c r="G83" s="342" t="s">
        <v>200</v>
      </c>
      <c r="H83" s="303" t="s">
        <v>68</v>
      </c>
      <c r="I83" s="296">
        <v>46014</v>
      </c>
      <c r="J83" s="296">
        <v>46203</v>
      </c>
      <c r="K83" s="344"/>
      <c r="L83" s="257" t="s">
        <v>938</v>
      </c>
      <c r="M83" s="143" t="s">
        <v>680</v>
      </c>
      <c r="N83" s="143">
        <v>3763</v>
      </c>
      <c r="O83" s="236" t="s">
        <v>681</v>
      </c>
    </row>
    <row r="84" spans="1:15" s="364" customFormat="1">
      <c r="A84" s="375" t="s">
        <v>1023</v>
      </c>
      <c r="B84" s="372">
        <v>101342831</v>
      </c>
      <c r="C84" s="372">
        <v>27055815</v>
      </c>
      <c r="D84" s="357" t="s">
        <v>439</v>
      </c>
      <c r="E84" s="372" t="s">
        <v>74</v>
      </c>
      <c r="F84" s="372">
        <v>1</v>
      </c>
      <c r="G84" s="373" t="s">
        <v>836</v>
      </c>
      <c r="H84" s="361" t="s">
        <v>890</v>
      </c>
      <c r="I84" s="368">
        <v>46027</v>
      </c>
      <c r="J84" s="368">
        <v>46112</v>
      </c>
      <c r="K84" s="380"/>
      <c r="L84" s="363"/>
      <c r="M84" s="381"/>
      <c r="N84" s="381"/>
      <c r="O84" s="81"/>
    </row>
    <row r="85" spans="1:15" s="237" customFormat="1">
      <c r="A85" s="63" t="s">
        <v>840</v>
      </c>
      <c r="B85" s="47">
        <v>100615980</v>
      </c>
      <c r="C85" s="47">
        <v>25017629</v>
      </c>
      <c r="D85" s="3" t="s">
        <v>601</v>
      </c>
      <c r="E85" s="47" t="s">
        <v>74</v>
      </c>
      <c r="F85" s="47">
        <v>2</v>
      </c>
      <c r="G85" s="48" t="s">
        <v>200</v>
      </c>
      <c r="H85" s="350" t="s">
        <v>602</v>
      </c>
      <c r="I85" s="16">
        <v>45931</v>
      </c>
      <c r="J85" s="16">
        <v>46053</v>
      </c>
      <c r="K85" s="50"/>
      <c r="L85" s="15" t="s">
        <v>938</v>
      </c>
      <c r="M85" s="80"/>
      <c r="N85" s="80"/>
      <c r="O85" s="81"/>
    </row>
    <row r="86" spans="1:15" s="115" customFormat="1" ht="14" customHeight="1">
      <c r="A86" s="111" t="s">
        <v>823</v>
      </c>
      <c r="B86" s="112">
        <v>100390804</v>
      </c>
      <c r="C86" s="112">
        <v>25895587</v>
      </c>
      <c r="D86" s="113" t="s">
        <v>39</v>
      </c>
      <c r="E86" s="219" t="s">
        <v>74</v>
      </c>
      <c r="F86" s="112">
        <v>2</v>
      </c>
      <c r="G86" s="151" t="s">
        <v>1108</v>
      </c>
      <c r="H86" s="113" t="s">
        <v>76</v>
      </c>
      <c r="I86" s="117">
        <v>45972</v>
      </c>
      <c r="J86" s="117">
        <v>46022</v>
      </c>
      <c r="K86" s="114" t="s">
        <v>796</v>
      </c>
      <c r="L86" s="153" t="s">
        <v>938</v>
      </c>
      <c r="M86" s="112" t="s">
        <v>31</v>
      </c>
      <c r="N86" s="112">
        <v>3705</v>
      </c>
      <c r="O86" s="238" t="s">
        <v>32</v>
      </c>
    </row>
    <row r="87" spans="1:15" s="364" customFormat="1">
      <c r="A87" s="357" t="s">
        <v>215</v>
      </c>
      <c r="B87" s="359">
        <v>100111521</v>
      </c>
      <c r="C87" s="359">
        <v>24411307</v>
      </c>
      <c r="D87" s="365" t="s">
        <v>917</v>
      </c>
      <c r="E87" s="372" t="s">
        <v>48</v>
      </c>
      <c r="F87" s="359">
        <v>4</v>
      </c>
      <c r="G87" s="361" t="s">
        <v>34</v>
      </c>
      <c r="H87" s="365" t="s">
        <v>54</v>
      </c>
      <c r="I87" s="368">
        <v>46023</v>
      </c>
      <c r="J87" s="368">
        <v>46203</v>
      </c>
      <c r="K87" s="369"/>
      <c r="L87" s="363" t="s">
        <v>938</v>
      </c>
      <c r="M87" s="363" t="s">
        <v>31</v>
      </c>
      <c r="N87" s="363">
        <v>3705</v>
      </c>
      <c r="O87" s="31" t="s">
        <v>32</v>
      </c>
    </row>
    <row r="88" spans="1:15">
      <c r="A88" s="3" t="s">
        <v>219</v>
      </c>
      <c r="B88" s="2">
        <v>100061176</v>
      </c>
      <c r="C88" s="2"/>
      <c r="D88" s="6" t="s">
        <v>63</v>
      </c>
      <c r="E88" s="47" t="s">
        <v>48</v>
      </c>
      <c r="F88" s="2">
        <v>2</v>
      </c>
      <c r="G88" s="59" t="s">
        <v>140</v>
      </c>
      <c r="H88" s="59" t="s">
        <v>121</v>
      </c>
      <c r="I88" s="39">
        <v>45888</v>
      </c>
      <c r="J88" s="39">
        <v>46053</v>
      </c>
      <c r="K88" s="40"/>
      <c r="L88" s="15" t="s">
        <v>938</v>
      </c>
      <c r="M88" s="15" t="s">
        <v>680</v>
      </c>
      <c r="N88" s="15">
        <v>3763</v>
      </c>
      <c r="O88" s="31" t="s">
        <v>681</v>
      </c>
    </row>
    <row r="89" spans="1:15">
      <c r="A89" s="3" t="s">
        <v>991</v>
      </c>
      <c r="B89" s="2">
        <v>100940666</v>
      </c>
      <c r="C89" s="2">
        <v>25017723</v>
      </c>
      <c r="D89" s="6" t="s">
        <v>600</v>
      </c>
      <c r="E89" s="47" t="s">
        <v>74</v>
      </c>
      <c r="F89" s="2">
        <v>2</v>
      </c>
      <c r="G89" s="59" t="s">
        <v>992</v>
      </c>
      <c r="H89" s="59" t="s">
        <v>936</v>
      </c>
      <c r="I89" s="39">
        <v>45931</v>
      </c>
      <c r="J89" s="39">
        <v>46081</v>
      </c>
      <c r="K89" s="40"/>
      <c r="L89" s="15" t="s">
        <v>938</v>
      </c>
      <c r="M89" s="15"/>
      <c r="N89" s="15"/>
      <c r="O89" s="31"/>
    </row>
    <row r="90" spans="1:15" ht="14" customHeight="1">
      <c r="A90" s="63" t="s">
        <v>613</v>
      </c>
      <c r="B90" s="47">
        <v>101379586</v>
      </c>
      <c r="C90" s="47">
        <v>25846676</v>
      </c>
      <c r="D90" s="3" t="s">
        <v>860</v>
      </c>
      <c r="E90" s="47" t="s">
        <v>503</v>
      </c>
      <c r="F90" s="47">
        <v>2</v>
      </c>
      <c r="G90" s="48" t="s">
        <v>1041</v>
      </c>
      <c r="H90" s="59" t="s">
        <v>83</v>
      </c>
      <c r="I90" s="18">
        <v>45967</v>
      </c>
      <c r="J90" s="18">
        <v>46053</v>
      </c>
      <c r="K90" s="50"/>
      <c r="L90" s="15" t="s">
        <v>938</v>
      </c>
      <c r="M90" s="2" t="s">
        <v>44</v>
      </c>
      <c r="N90" s="2">
        <v>1707</v>
      </c>
      <c r="O90" s="17" t="s">
        <v>910</v>
      </c>
    </row>
    <row r="91" spans="1:15" s="364" customFormat="1">
      <c r="A91" s="357" t="s">
        <v>213</v>
      </c>
      <c r="B91" s="359">
        <v>101144594</v>
      </c>
      <c r="C91" s="359">
        <v>25442608</v>
      </c>
      <c r="D91" s="365" t="s">
        <v>917</v>
      </c>
      <c r="E91" s="359" t="s">
        <v>74</v>
      </c>
      <c r="F91" s="359">
        <v>2</v>
      </c>
      <c r="G91" s="361" t="s">
        <v>817</v>
      </c>
      <c r="H91" s="361" t="s">
        <v>936</v>
      </c>
      <c r="I91" s="368">
        <v>46023</v>
      </c>
      <c r="J91" s="368">
        <v>46142</v>
      </c>
      <c r="K91" s="374"/>
      <c r="L91" s="370"/>
      <c r="M91" s="359" t="s">
        <v>595</v>
      </c>
      <c r="N91" s="359">
        <v>7011</v>
      </c>
      <c r="O91" s="17" t="s">
        <v>596</v>
      </c>
    </row>
    <row r="92" spans="1:15">
      <c r="A92" s="3" t="s">
        <v>886</v>
      </c>
      <c r="B92" s="2">
        <v>101389035</v>
      </c>
      <c r="C92" s="2">
        <v>26310683</v>
      </c>
      <c r="D92" s="6" t="s">
        <v>1063</v>
      </c>
      <c r="E92" s="2" t="s">
        <v>43</v>
      </c>
      <c r="F92" s="2">
        <v>2</v>
      </c>
      <c r="G92" s="59" t="s">
        <v>1033</v>
      </c>
      <c r="H92" s="59" t="s">
        <v>602</v>
      </c>
      <c r="I92" s="39">
        <v>45992</v>
      </c>
      <c r="J92" s="39">
        <v>46053</v>
      </c>
      <c r="K92" s="40"/>
      <c r="L92" s="2"/>
      <c r="M92" s="2"/>
      <c r="N92" s="17"/>
      <c r="O92"/>
    </row>
    <row r="93" spans="1:15">
      <c r="A93" s="3" t="s">
        <v>1020</v>
      </c>
      <c r="B93" s="2">
        <v>101338889</v>
      </c>
      <c r="C93" s="2">
        <v>26691544</v>
      </c>
      <c r="D93" s="6" t="s">
        <v>1066</v>
      </c>
      <c r="E93" s="2" t="s">
        <v>48</v>
      </c>
      <c r="F93" s="2">
        <v>2</v>
      </c>
      <c r="G93" s="59"/>
      <c r="H93" s="59"/>
      <c r="I93" s="39">
        <v>46008</v>
      </c>
      <c r="J93" s="39">
        <v>46013</v>
      </c>
      <c r="K93" s="270" t="s">
        <v>1025</v>
      </c>
      <c r="L93" s="15" t="s">
        <v>1011</v>
      </c>
      <c r="M93" s="15"/>
      <c r="N93" s="17"/>
      <c r="O93"/>
    </row>
    <row r="94" spans="1:15" ht="14.25" customHeight="1">
      <c r="A94" s="111" t="s">
        <v>369</v>
      </c>
      <c r="B94" s="112">
        <v>100032288</v>
      </c>
      <c r="C94" s="112">
        <v>21418970</v>
      </c>
      <c r="D94" s="113" t="s">
        <v>588</v>
      </c>
      <c r="E94" s="112" t="s">
        <v>23</v>
      </c>
      <c r="F94" s="112">
        <v>2</v>
      </c>
      <c r="G94" s="113" t="s">
        <v>24</v>
      </c>
      <c r="H94" s="151" t="s">
        <v>53</v>
      </c>
      <c r="I94" s="152">
        <v>45754</v>
      </c>
      <c r="J94" s="152">
        <v>45811</v>
      </c>
      <c r="K94" s="112" t="s">
        <v>685</v>
      </c>
      <c r="L94" s="15" t="s">
        <v>938</v>
      </c>
      <c r="M94" s="153"/>
      <c r="N94" s="86"/>
      <c r="O94" s="31"/>
    </row>
    <row r="95" spans="1:15" s="326" customFormat="1">
      <c r="A95" s="316" t="s">
        <v>993</v>
      </c>
      <c r="B95" s="317">
        <v>10110295</v>
      </c>
      <c r="C95" s="317">
        <v>25017707</v>
      </c>
      <c r="D95" s="319" t="s">
        <v>994</v>
      </c>
      <c r="E95" s="320" t="s">
        <v>48</v>
      </c>
      <c r="F95" s="317">
        <v>2</v>
      </c>
      <c r="G95" s="316" t="s">
        <v>82</v>
      </c>
      <c r="H95" s="319"/>
      <c r="I95" s="321">
        <v>45931</v>
      </c>
      <c r="J95" s="322">
        <v>46112</v>
      </c>
      <c r="K95" s="323" t="s">
        <v>896</v>
      </c>
      <c r="L95" s="324"/>
      <c r="M95" s="317"/>
      <c r="N95" s="317"/>
      <c r="O95" s="325"/>
    </row>
    <row r="96" spans="1:15" s="364" customFormat="1">
      <c r="A96" s="382" t="s">
        <v>101</v>
      </c>
      <c r="B96" s="359">
        <v>101208831</v>
      </c>
      <c r="C96" s="359">
        <v>26795390</v>
      </c>
      <c r="D96" s="357" t="s">
        <v>42</v>
      </c>
      <c r="E96" s="359" t="s">
        <v>23</v>
      </c>
      <c r="F96" s="359">
        <v>2</v>
      </c>
      <c r="G96" s="360" t="s">
        <v>24</v>
      </c>
      <c r="H96" s="365" t="s">
        <v>100</v>
      </c>
      <c r="I96" s="366">
        <v>46013</v>
      </c>
      <c r="J96" s="366">
        <v>46234</v>
      </c>
      <c r="K96" s="383" t="s">
        <v>1095</v>
      </c>
      <c r="L96" s="363" t="s">
        <v>938</v>
      </c>
      <c r="M96" s="359" t="s">
        <v>65</v>
      </c>
      <c r="N96" s="359">
        <v>7017</v>
      </c>
      <c r="O96" s="17" t="s">
        <v>66</v>
      </c>
    </row>
    <row r="97" spans="1:15" s="364" customFormat="1">
      <c r="A97" s="382" t="s">
        <v>101</v>
      </c>
      <c r="B97" s="359">
        <v>101208831</v>
      </c>
      <c r="C97" s="359">
        <v>26795390</v>
      </c>
      <c r="D97" s="357" t="s">
        <v>42</v>
      </c>
      <c r="E97" s="359" t="s">
        <v>23</v>
      </c>
      <c r="F97" s="359">
        <v>2</v>
      </c>
      <c r="G97" s="360" t="s">
        <v>24</v>
      </c>
      <c r="H97" s="365" t="s">
        <v>102</v>
      </c>
      <c r="I97" s="366">
        <v>46013</v>
      </c>
      <c r="J97" s="366">
        <v>46234</v>
      </c>
      <c r="K97" s="383"/>
      <c r="L97" s="363" t="s">
        <v>938</v>
      </c>
      <c r="M97" s="359" t="s">
        <v>65</v>
      </c>
      <c r="N97" s="359">
        <v>7017</v>
      </c>
      <c r="O97" s="17" t="s">
        <v>66</v>
      </c>
    </row>
    <row r="98" spans="1:15" s="55" customFormat="1">
      <c r="A98" s="85" t="s">
        <v>103</v>
      </c>
      <c r="B98" s="86">
        <v>100239887</v>
      </c>
      <c r="C98" s="86">
        <v>26254167</v>
      </c>
      <c r="D98" s="19" t="s">
        <v>850</v>
      </c>
      <c r="E98" s="86" t="s">
        <v>160</v>
      </c>
      <c r="F98" s="86">
        <v>2</v>
      </c>
      <c r="G98" s="19" t="s">
        <v>24</v>
      </c>
      <c r="H98" s="6" t="s">
        <v>17</v>
      </c>
      <c r="I98" s="82" t="s">
        <v>1062</v>
      </c>
      <c r="J98" s="82">
        <v>46081</v>
      </c>
      <c r="K98" s="154" t="s">
        <v>651</v>
      </c>
      <c r="L98" s="15" t="s">
        <v>938</v>
      </c>
      <c r="M98" s="80" t="s">
        <v>65</v>
      </c>
      <c r="N98" s="15">
        <v>7017</v>
      </c>
      <c r="O98" s="81" t="s">
        <v>66</v>
      </c>
    </row>
    <row r="99" spans="1:15" s="55" customFormat="1">
      <c r="A99" s="85" t="s">
        <v>103</v>
      </c>
      <c r="B99" s="86">
        <v>100239887</v>
      </c>
      <c r="C99" s="86">
        <v>26254167</v>
      </c>
      <c r="D99" s="19" t="s">
        <v>1063</v>
      </c>
      <c r="E99" s="86" t="s">
        <v>1064</v>
      </c>
      <c r="F99" s="86">
        <v>2</v>
      </c>
      <c r="G99" s="19" t="s">
        <v>24</v>
      </c>
      <c r="H99" s="73" t="s">
        <v>511</v>
      </c>
      <c r="I99" s="82" t="s">
        <v>1062</v>
      </c>
      <c r="J99" s="82">
        <v>46081</v>
      </c>
      <c r="K99" s="154" t="s">
        <v>584</v>
      </c>
      <c r="L99" s="15" t="s">
        <v>938</v>
      </c>
      <c r="M99" s="80" t="s">
        <v>65</v>
      </c>
      <c r="N99" s="15">
        <v>7017</v>
      </c>
      <c r="O99" s="81" t="s">
        <v>66</v>
      </c>
    </row>
    <row r="100" spans="1:15">
      <c r="A100" s="46" t="s">
        <v>877</v>
      </c>
      <c r="B100" s="2">
        <v>100067139</v>
      </c>
      <c r="C100" s="2">
        <v>24029635</v>
      </c>
      <c r="D100" s="6" t="s">
        <v>1063</v>
      </c>
      <c r="E100" s="2" t="s">
        <v>40</v>
      </c>
      <c r="F100" s="2">
        <v>2</v>
      </c>
      <c r="G100" s="6" t="s">
        <v>924</v>
      </c>
      <c r="H100" s="6" t="s">
        <v>125</v>
      </c>
      <c r="I100" s="16">
        <v>45887</v>
      </c>
      <c r="J100" s="16">
        <v>46053</v>
      </c>
      <c r="K100" s="42"/>
      <c r="L100" s="15" t="s">
        <v>938</v>
      </c>
      <c r="M100" s="2" t="s">
        <v>65</v>
      </c>
      <c r="N100" s="2">
        <v>7017</v>
      </c>
      <c r="O100" s="31" t="s">
        <v>66</v>
      </c>
    </row>
    <row r="101" spans="1:15">
      <c r="A101" s="46" t="s">
        <v>877</v>
      </c>
      <c r="B101" s="2">
        <v>100067139</v>
      </c>
      <c r="C101" s="2">
        <v>24029635</v>
      </c>
      <c r="D101" s="6" t="s">
        <v>850</v>
      </c>
      <c r="E101" s="2" t="s">
        <v>40</v>
      </c>
      <c r="F101" s="2">
        <v>2</v>
      </c>
      <c r="G101" s="6" t="s">
        <v>924</v>
      </c>
      <c r="H101" s="6" t="s">
        <v>925</v>
      </c>
      <c r="I101" s="16">
        <v>45887</v>
      </c>
      <c r="J101" s="16">
        <v>46053</v>
      </c>
      <c r="K101" s="42"/>
      <c r="L101" s="15" t="s">
        <v>938</v>
      </c>
      <c r="M101" s="2" t="s">
        <v>65</v>
      </c>
      <c r="N101" s="2">
        <v>7017</v>
      </c>
      <c r="O101" s="81" t="s">
        <v>66</v>
      </c>
    </row>
    <row r="102" spans="1:15" s="364" customFormat="1">
      <c r="A102" s="382" t="s">
        <v>1026</v>
      </c>
      <c r="B102" s="359">
        <v>101365233</v>
      </c>
      <c r="C102" s="359">
        <v>27090491</v>
      </c>
      <c r="D102" s="365" t="s">
        <v>39</v>
      </c>
      <c r="E102" s="359" t="s">
        <v>40</v>
      </c>
      <c r="F102" s="359">
        <v>2</v>
      </c>
      <c r="G102" s="365" t="s">
        <v>1117</v>
      </c>
      <c r="H102" s="361" t="s">
        <v>54</v>
      </c>
      <c r="I102" s="384">
        <v>46029</v>
      </c>
      <c r="J102" s="384">
        <v>46112</v>
      </c>
      <c r="K102" s="383"/>
      <c r="L102" s="363"/>
      <c r="M102" s="359"/>
      <c r="N102" s="359"/>
      <c r="O102" s="81"/>
    </row>
    <row r="103" spans="1:15">
      <c r="A103" s="46" t="s">
        <v>1048</v>
      </c>
      <c r="B103" s="2">
        <v>101258365</v>
      </c>
      <c r="C103" s="2">
        <v>26120653</v>
      </c>
      <c r="D103" s="6" t="s">
        <v>439</v>
      </c>
      <c r="E103" s="2" t="s">
        <v>48</v>
      </c>
      <c r="F103" s="2">
        <v>2</v>
      </c>
      <c r="G103" s="6" t="s">
        <v>137</v>
      </c>
      <c r="H103" s="59" t="s">
        <v>54</v>
      </c>
      <c r="I103" s="49">
        <v>45980</v>
      </c>
      <c r="J103" s="49">
        <v>46081</v>
      </c>
      <c r="K103" s="215"/>
      <c r="L103" s="15"/>
      <c r="M103" s="2"/>
      <c r="N103" s="2"/>
      <c r="O103" s="81"/>
    </row>
    <row r="104" spans="1:15">
      <c r="A104" s="46" t="s">
        <v>904</v>
      </c>
      <c r="B104" s="2">
        <v>101387442</v>
      </c>
      <c r="C104" s="2">
        <v>24750125</v>
      </c>
      <c r="D104" s="3" t="s">
        <v>439</v>
      </c>
      <c r="E104" s="2" t="s">
        <v>74</v>
      </c>
      <c r="F104" s="2">
        <v>2</v>
      </c>
      <c r="G104" s="12" t="s">
        <v>836</v>
      </c>
      <c r="H104" s="59" t="s">
        <v>644</v>
      </c>
      <c r="I104" s="60">
        <v>45921</v>
      </c>
      <c r="J104" s="60">
        <v>45935</v>
      </c>
      <c r="K104" s="15"/>
      <c r="L104" s="15" t="s">
        <v>1011</v>
      </c>
      <c r="M104" s="2"/>
      <c r="N104" s="2"/>
      <c r="O104" s="17"/>
    </row>
    <row r="105" spans="1:15" s="364" customFormat="1">
      <c r="A105" s="382" t="s">
        <v>104</v>
      </c>
      <c r="B105" s="359">
        <v>101291826</v>
      </c>
      <c r="C105" s="359">
        <v>26842987</v>
      </c>
      <c r="D105" s="357" t="s">
        <v>42</v>
      </c>
      <c r="E105" s="359" t="s">
        <v>160</v>
      </c>
      <c r="F105" s="359">
        <v>2</v>
      </c>
      <c r="G105" s="360" t="s">
        <v>650</v>
      </c>
      <c r="H105" s="361" t="s">
        <v>106</v>
      </c>
      <c r="I105" s="385">
        <v>46015</v>
      </c>
      <c r="J105" s="385">
        <v>46142</v>
      </c>
      <c r="K105" s="363"/>
      <c r="L105" s="363" t="s">
        <v>938</v>
      </c>
      <c r="M105" s="359" t="s">
        <v>610</v>
      </c>
      <c r="N105" s="359">
        <v>5140</v>
      </c>
      <c r="O105" s="17" t="s">
        <v>614</v>
      </c>
    </row>
    <row r="106" spans="1:15">
      <c r="A106" s="3" t="s">
        <v>240</v>
      </c>
      <c r="B106" s="2">
        <v>100288942</v>
      </c>
      <c r="C106" s="2">
        <v>26095090</v>
      </c>
      <c r="D106" s="6" t="s">
        <v>917</v>
      </c>
      <c r="E106" s="2" t="s">
        <v>37</v>
      </c>
      <c r="F106" s="2">
        <v>2</v>
      </c>
      <c r="G106" s="59" t="s">
        <v>506</v>
      </c>
      <c r="H106" s="59" t="s">
        <v>178</v>
      </c>
      <c r="I106" s="39">
        <v>45979</v>
      </c>
      <c r="J106" s="39">
        <v>46174</v>
      </c>
      <c r="K106" s="40"/>
      <c r="L106" s="2" t="s">
        <v>680</v>
      </c>
      <c r="M106" s="2">
        <v>3763</v>
      </c>
      <c r="N106" s="17" t="s">
        <v>681</v>
      </c>
      <c r="O106"/>
    </row>
    <row r="107" spans="1:15">
      <c r="A107" s="46" t="s">
        <v>646</v>
      </c>
      <c r="B107" s="2">
        <v>101390335</v>
      </c>
      <c r="C107" s="2">
        <v>24127830</v>
      </c>
      <c r="D107" s="3" t="s">
        <v>1066</v>
      </c>
      <c r="E107" s="2" t="s">
        <v>74</v>
      </c>
      <c r="F107" s="2">
        <v>2</v>
      </c>
      <c r="G107" s="12" t="s">
        <v>214</v>
      </c>
      <c r="H107" s="59" t="s">
        <v>54</v>
      </c>
      <c r="I107" s="60">
        <v>45891</v>
      </c>
      <c r="J107" s="60">
        <v>46053</v>
      </c>
      <c r="K107" s="15" t="s">
        <v>927</v>
      </c>
      <c r="L107" s="15" t="s">
        <v>1011</v>
      </c>
      <c r="M107" s="2" t="s">
        <v>899</v>
      </c>
      <c r="N107" s="86" t="s">
        <v>151</v>
      </c>
      <c r="O107" s="17" t="s">
        <v>902</v>
      </c>
    </row>
    <row r="108" spans="1:15">
      <c r="A108" s="46" t="s">
        <v>1072</v>
      </c>
      <c r="B108" s="2">
        <v>100075627</v>
      </c>
      <c r="C108" s="2">
        <v>26567234</v>
      </c>
      <c r="D108" s="3" t="s">
        <v>63</v>
      </c>
      <c r="E108" s="2" t="s">
        <v>74</v>
      </c>
      <c r="F108" s="43">
        <v>2</v>
      </c>
      <c r="G108" s="12" t="s">
        <v>836</v>
      </c>
      <c r="H108" s="59" t="s">
        <v>30</v>
      </c>
      <c r="I108" s="60">
        <v>46002</v>
      </c>
      <c r="J108" s="60">
        <v>46053</v>
      </c>
      <c r="K108" s="15"/>
      <c r="L108" s="15"/>
      <c r="M108" s="2"/>
      <c r="N108" s="86"/>
      <c r="O108" s="17"/>
    </row>
    <row r="109" spans="1:15" ht="14.25" customHeight="1">
      <c r="A109" s="3" t="s">
        <v>622</v>
      </c>
      <c r="B109" s="2">
        <v>101233801</v>
      </c>
      <c r="C109" s="2">
        <v>23398507</v>
      </c>
      <c r="D109" s="6" t="s">
        <v>962</v>
      </c>
      <c r="E109" s="2" t="s">
        <v>23</v>
      </c>
      <c r="F109" s="43">
        <v>2</v>
      </c>
      <c r="G109" s="12" t="s">
        <v>963</v>
      </c>
      <c r="H109" s="73" t="s">
        <v>80</v>
      </c>
      <c r="I109" s="39">
        <v>45855</v>
      </c>
      <c r="J109" s="39">
        <v>46022</v>
      </c>
      <c r="K109" s="40" t="s">
        <v>684</v>
      </c>
      <c r="L109" s="15" t="s">
        <v>938</v>
      </c>
      <c r="M109" s="2" t="s">
        <v>680</v>
      </c>
      <c r="N109" s="2">
        <v>3763</v>
      </c>
      <c r="O109" s="17" t="s">
        <v>681</v>
      </c>
    </row>
    <row r="110" spans="1:15" s="237" customFormat="1">
      <c r="A110" s="259" t="s">
        <v>336</v>
      </c>
      <c r="B110" s="143">
        <v>101324148</v>
      </c>
      <c r="C110" s="143">
        <v>27260520</v>
      </c>
      <c r="D110" s="142" t="s">
        <v>432</v>
      </c>
      <c r="E110" s="143" t="s">
        <v>40</v>
      </c>
      <c r="F110" s="143">
        <v>2</v>
      </c>
      <c r="G110" s="306" t="s">
        <v>836</v>
      </c>
      <c r="H110" s="303" t="s">
        <v>30</v>
      </c>
      <c r="I110" s="327">
        <v>46035</v>
      </c>
      <c r="J110" s="327">
        <v>46203</v>
      </c>
      <c r="K110" s="257"/>
      <c r="L110" s="257" t="s">
        <v>938</v>
      </c>
      <c r="M110" s="257" t="s">
        <v>610</v>
      </c>
      <c r="N110" s="257">
        <v>5140</v>
      </c>
      <c r="O110" s="307" t="s">
        <v>614</v>
      </c>
    </row>
    <row r="111" spans="1:15">
      <c r="A111" s="3" t="s">
        <v>1049</v>
      </c>
      <c r="B111" s="2">
        <v>100642055</v>
      </c>
      <c r="C111" s="2">
        <v>26117916</v>
      </c>
      <c r="D111" s="3" t="s">
        <v>917</v>
      </c>
      <c r="E111" s="2" t="s">
        <v>48</v>
      </c>
      <c r="F111" s="2">
        <v>2</v>
      </c>
      <c r="G111" s="12" t="s">
        <v>34</v>
      </c>
      <c r="H111" s="6" t="s">
        <v>897</v>
      </c>
      <c r="I111" s="16">
        <v>45979</v>
      </c>
      <c r="J111" s="16">
        <v>46112</v>
      </c>
      <c r="K111" s="2"/>
    </row>
    <row r="112" spans="1:15">
      <c r="A112" s="3" t="s">
        <v>825</v>
      </c>
      <c r="B112" s="2">
        <v>100549135</v>
      </c>
      <c r="C112" s="2">
        <v>26212811</v>
      </c>
      <c r="D112" s="3" t="s">
        <v>22</v>
      </c>
      <c r="E112" s="2" t="s">
        <v>23</v>
      </c>
      <c r="F112" s="2">
        <v>2</v>
      </c>
      <c r="G112" s="12" t="s">
        <v>926</v>
      </c>
      <c r="H112" s="59" t="s">
        <v>54</v>
      </c>
      <c r="I112" s="39">
        <v>45982</v>
      </c>
      <c r="J112" s="39">
        <v>46171</v>
      </c>
      <c r="K112" s="2"/>
      <c r="L112" s="290" t="s">
        <v>938</v>
      </c>
      <c r="M112" s="15" t="s">
        <v>31</v>
      </c>
      <c r="N112" s="15">
        <v>3705</v>
      </c>
      <c r="O112" s="31" t="s">
        <v>32</v>
      </c>
    </row>
    <row r="113" spans="1:15">
      <c r="A113" s="3" t="s">
        <v>825</v>
      </c>
      <c r="B113" s="2">
        <v>100549135</v>
      </c>
      <c r="C113" s="2">
        <v>26212811</v>
      </c>
      <c r="D113" s="3" t="s">
        <v>63</v>
      </c>
      <c r="E113" s="2" t="s">
        <v>74</v>
      </c>
      <c r="F113" s="2">
        <v>2</v>
      </c>
      <c r="G113" s="6" t="s">
        <v>200</v>
      </c>
      <c r="H113" s="59" t="s">
        <v>54</v>
      </c>
      <c r="I113" s="39">
        <v>45982</v>
      </c>
      <c r="J113" s="39">
        <v>46171</v>
      </c>
      <c r="K113" s="2"/>
      <c r="L113" s="290" t="s">
        <v>938</v>
      </c>
      <c r="M113" s="2" t="s">
        <v>31</v>
      </c>
      <c r="N113" s="2">
        <v>3705</v>
      </c>
      <c r="O113" s="17" t="s">
        <v>32</v>
      </c>
    </row>
    <row r="114" spans="1:15">
      <c r="A114" s="3" t="s">
        <v>825</v>
      </c>
      <c r="B114" s="2">
        <v>100549135</v>
      </c>
      <c r="C114" s="2">
        <v>26212811</v>
      </c>
      <c r="D114" s="3" t="s">
        <v>63</v>
      </c>
      <c r="E114" s="2" t="s">
        <v>74</v>
      </c>
      <c r="F114" s="2">
        <v>2</v>
      </c>
      <c r="G114" s="6" t="s">
        <v>1053</v>
      </c>
      <c r="H114" s="59" t="s">
        <v>663</v>
      </c>
      <c r="I114" s="39">
        <v>45982</v>
      </c>
      <c r="J114" s="39">
        <v>46171</v>
      </c>
      <c r="K114" s="2"/>
      <c r="L114" s="290" t="s">
        <v>938</v>
      </c>
      <c r="M114" s="2" t="s">
        <v>31</v>
      </c>
      <c r="N114" s="2">
        <v>3705</v>
      </c>
      <c r="O114" s="17" t="s">
        <v>32</v>
      </c>
    </row>
    <row r="115" spans="1:15">
      <c r="A115" s="46" t="s">
        <v>107</v>
      </c>
      <c r="B115" s="2">
        <v>101314456</v>
      </c>
      <c r="C115" s="2">
        <v>20623652</v>
      </c>
      <c r="D115" s="3" t="s">
        <v>39</v>
      </c>
      <c r="E115" s="2"/>
      <c r="F115" s="2"/>
      <c r="G115" s="12"/>
      <c r="H115" s="59"/>
      <c r="I115" s="60">
        <v>45714</v>
      </c>
      <c r="J115" s="60">
        <v>45900</v>
      </c>
      <c r="K115" s="15" t="s">
        <v>654</v>
      </c>
      <c r="L115" s="15" t="s">
        <v>1011</v>
      </c>
      <c r="M115" s="2" t="s">
        <v>899</v>
      </c>
      <c r="N115" s="86" t="s">
        <v>151</v>
      </c>
      <c r="O115" s="17" t="s">
        <v>902</v>
      </c>
    </row>
    <row r="116" spans="1:15" ht="14.25" customHeight="1">
      <c r="A116" s="46" t="s">
        <v>997</v>
      </c>
      <c r="B116" s="2">
        <v>100528299</v>
      </c>
      <c r="C116" s="2">
        <v>24713409</v>
      </c>
      <c r="D116" s="3" t="s">
        <v>970</v>
      </c>
      <c r="E116" s="2" t="s">
        <v>40</v>
      </c>
      <c r="F116" s="43">
        <v>2</v>
      </c>
      <c r="G116" s="59" t="s">
        <v>998</v>
      </c>
      <c r="H116" s="59" t="s">
        <v>663</v>
      </c>
      <c r="I116" s="39">
        <v>45931</v>
      </c>
      <c r="J116" s="16">
        <v>46081</v>
      </c>
      <c r="K116" s="215"/>
      <c r="L116" s="15"/>
      <c r="M116" s="15"/>
      <c r="N116" s="31"/>
      <c r="O116"/>
    </row>
    <row r="117" spans="1:15" ht="14.25" customHeight="1">
      <c r="A117" s="3" t="s">
        <v>245</v>
      </c>
      <c r="B117" s="2">
        <v>100568492</v>
      </c>
      <c r="C117" s="2">
        <v>22982489</v>
      </c>
      <c r="D117" s="6" t="s">
        <v>898</v>
      </c>
      <c r="E117" s="2" t="s">
        <v>74</v>
      </c>
      <c r="F117" s="2">
        <v>2</v>
      </c>
      <c r="G117" s="6" t="s">
        <v>867</v>
      </c>
      <c r="H117" s="59" t="s">
        <v>663</v>
      </c>
      <c r="I117" s="16">
        <v>45836</v>
      </c>
      <c r="J117" s="16">
        <v>46022</v>
      </c>
      <c r="K117" s="2" t="s">
        <v>867</v>
      </c>
      <c r="L117" s="15" t="s">
        <v>938</v>
      </c>
      <c r="M117" s="15" t="s">
        <v>25</v>
      </c>
      <c r="N117" s="2">
        <v>5940</v>
      </c>
      <c r="O117" s="31" t="s">
        <v>26</v>
      </c>
    </row>
    <row r="118" spans="1:15" s="364" customFormat="1" ht="13" customHeight="1">
      <c r="A118" s="382" t="s">
        <v>915</v>
      </c>
      <c r="B118" s="359">
        <v>100568492</v>
      </c>
      <c r="C118" s="359">
        <v>27103152</v>
      </c>
      <c r="D118" s="365" t="s">
        <v>740</v>
      </c>
      <c r="E118" s="359" t="s">
        <v>23</v>
      </c>
      <c r="F118" s="359">
        <v>2</v>
      </c>
      <c r="G118" s="365" t="s">
        <v>964</v>
      </c>
      <c r="H118" s="361" t="s">
        <v>603</v>
      </c>
      <c r="I118" s="384">
        <v>46029</v>
      </c>
      <c r="J118" s="366">
        <v>46143</v>
      </c>
      <c r="K118" s="363" t="s">
        <v>911</v>
      </c>
      <c r="L118" s="363" t="s">
        <v>938</v>
      </c>
      <c r="M118" s="359" t="s">
        <v>25</v>
      </c>
      <c r="N118" s="359">
        <v>5940</v>
      </c>
      <c r="O118" s="17" t="s">
        <v>26</v>
      </c>
    </row>
    <row r="119" spans="1:15" ht="14.25" customHeight="1">
      <c r="A119" s="248" t="s">
        <v>244</v>
      </c>
      <c r="B119" s="112">
        <v>100527045</v>
      </c>
      <c r="C119" s="112">
        <v>22102115</v>
      </c>
      <c r="D119" s="113"/>
      <c r="E119" s="112" t="s">
        <v>23</v>
      </c>
      <c r="F119" s="112">
        <v>2</v>
      </c>
      <c r="G119" s="113" t="s">
        <v>24</v>
      </c>
      <c r="H119" s="151" t="s">
        <v>644</v>
      </c>
      <c r="I119" s="244">
        <v>45789</v>
      </c>
      <c r="J119" s="152">
        <v>45973</v>
      </c>
      <c r="K119" s="153" t="s">
        <v>829</v>
      </c>
      <c r="L119" s="15" t="s">
        <v>938</v>
      </c>
      <c r="M119" s="112" t="s">
        <v>610</v>
      </c>
      <c r="N119" s="86">
        <v>5140</v>
      </c>
      <c r="O119" s="17" t="s">
        <v>614</v>
      </c>
    </row>
    <row r="120" spans="1:15">
      <c r="A120" s="46" t="s">
        <v>246</v>
      </c>
      <c r="B120" s="2">
        <v>100897835</v>
      </c>
      <c r="C120" s="2">
        <v>26835537</v>
      </c>
      <c r="D120" s="6" t="s">
        <v>600</v>
      </c>
      <c r="E120" s="2" t="s">
        <v>40</v>
      </c>
      <c r="F120" s="2">
        <v>2</v>
      </c>
      <c r="G120" s="6" t="s">
        <v>932</v>
      </c>
      <c r="H120" s="2" t="s">
        <v>511</v>
      </c>
      <c r="I120" s="16">
        <v>45658</v>
      </c>
      <c r="J120" s="16">
        <v>46173</v>
      </c>
      <c r="K120" s="44"/>
      <c r="L120" s="2" t="s">
        <v>938</v>
      </c>
      <c r="M120" s="2" t="s">
        <v>44</v>
      </c>
      <c r="N120" s="17">
        <v>1707</v>
      </c>
      <c r="O120" t="s">
        <v>910</v>
      </c>
    </row>
    <row r="121" spans="1:15" s="364" customFormat="1">
      <c r="A121" s="382" t="s">
        <v>108</v>
      </c>
      <c r="B121" s="359">
        <v>101055698</v>
      </c>
      <c r="C121" s="359">
        <v>27101761</v>
      </c>
      <c r="D121" s="357" t="s">
        <v>976</v>
      </c>
      <c r="E121" s="359" t="s">
        <v>109</v>
      </c>
      <c r="F121" s="359">
        <v>2</v>
      </c>
      <c r="G121" s="360" t="s">
        <v>110</v>
      </c>
      <c r="H121" s="365" t="s">
        <v>111</v>
      </c>
      <c r="I121" s="384">
        <v>46029</v>
      </c>
      <c r="J121" s="366">
        <v>46054</v>
      </c>
      <c r="K121" s="363" t="s">
        <v>105</v>
      </c>
      <c r="L121" s="363" t="s">
        <v>938</v>
      </c>
      <c r="M121" s="359" t="s">
        <v>25</v>
      </c>
      <c r="N121" s="359">
        <v>5940</v>
      </c>
      <c r="O121" s="17" t="s">
        <v>26</v>
      </c>
    </row>
    <row r="122" spans="1:15">
      <c r="A122" s="46" t="s">
        <v>1019</v>
      </c>
      <c r="B122" s="2">
        <v>101419975</v>
      </c>
      <c r="C122" s="2">
        <v>24612230</v>
      </c>
      <c r="D122" s="3" t="s">
        <v>952</v>
      </c>
      <c r="E122" s="47" t="s">
        <v>48</v>
      </c>
      <c r="F122" s="47">
        <v>2</v>
      </c>
      <c r="G122" s="48" t="s">
        <v>140</v>
      </c>
      <c r="H122" s="6" t="s">
        <v>102</v>
      </c>
      <c r="I122" s="49">
        <v>45912</v>
      </c>
      <c r="J122" s="57">
        <v>46081</v>
      </c>
      <c r="K122" s="15"/>
      <c r="L122" s="15"/>
      <c r="M122" s="2"/>
      <c r="N122" s="2"/>
      <c r="O122" s="17"/>
    </row>
    <row r="123" spans="1:15">
      <c r="A123" s="46" t="s">
        <v>1079</v>
      </c>
      <c r="B123" s="2">
        <v>101400499</v>
      </c>
      <c r="C123" s="2">
        <v>26515952</v>
      </c>
      <c r="D123" s="3" t="s">
        <v>39</v>
      </c>
      <c r="E123" s="47" t="s">
        <v>28</v>
      </c>
      <c r="F123" s="47">
        <v>2</v>
      </c>
      <c r="G123" s="351" t="s">
        <v>137</v>
      </c>
      <c r="H123" s="6" t="s">
        <v>102</v>
      </c>
      <c r="I123" s="49">
        <v>45998</v>
      </c>
      <c r="J123" s="57">
        <v>46201</v>
      </c>
      <c r="K123" s="15"/>
      <c r="L123" s="2" t="s">
        <v>900</v>
      </c>
      <c r="M123" s="86" t="s">
        <v>19</v>
      </c>
      <c r="N123" s="17" t="s">
        <v>901</v>
      </c>
      <c r="O123" s="289"/>
    </row>
    <row r="124" spans="1:15">
      <c r="A124" s="46" t="s">
        <v>609</v>
      </c>
      <c r="B124" s="2">
        <v>101355964</v>
      </c>
      <c r="C124" s="2">
        <v>26400088</v>
      </c>
      <c r="D124" s="3" t="s">
        <v>39</v>
      </c>
      <c r="E124" s="47" t="s">
        <v>74</v>
      </c>
      <c r="F124" s="47">
        <v>2</v>
      </c>
      <c r="G124" s="48" t="s">
        <v>817</v>
      </c>
      <c r="H124" s="6" t="s">
        <v>121</v>
      </c>
      <c r="I124" s="49">
        <v>45995</v>
      </c>
      <c r="J124" s="57">
        <v>46140</v>
      </c>
      <c r="K124" s="15"/>
      <c r="L124" s="15"/>
      <c r="M124" s="2"/>
      <c r="N124" s="2"/>
      <c r="O124" s="17"/>
    </row>
    <row r="125" spans="1:15">
      <c r="A125" s="3" t="s">
        <v>946</v>
      </c>
      <c r="B125" s="2">
        <v>100039605</v>
      </c>
      <c r="C125" s="2">
        <v>24287876</v>
      </c>
      <c r="D125" s="3" t="s">
        <v>860</v>
      </c>
      <c r="E125" s="2" t="s">
        <v>48</v>
      </c>
      <c r="F125" s="5">
        <v>2</v>
      </c>
      <c r="G125" s="12" t="s">
        <v>137</v>
      </c>
      <c r="H125" s="59" t="s">
        <v>602</v>
      </c>
      <c r="I125" s="16">
        <v>45947</v>
      </c>
      <c r="J125" s="16">
        <v>46081</v>
      </c>
      <c r="K125" s="2"/>
      <c r="L125" s="15" t="s">
        <v>938</v>
      </c>
      <c r="M125" s="2"/>
      <c r="N125" s="2"/>
      <c r="O125" s="17"/>
    </row>
    <row r="126" spans="1:15">
      <c r="A126" s="7"/>
      <c r="B126" s="352"/>
      <c r="C126" s="352"/>
      <c r="D126" s="352"/>
      <c r="E126" s="352"/>
    </row>
    <row r="127" spans="1:15">
      <c r="A127" s="8"/>
      <c r="D127" s="7"/>
      <c r="E127" s="7"/>
    </row>
    <row r="128" spans="1:15">
      <c r="C128" s="7"/>
      <c r="D128" s="7"/>
    </row>
    <row r="129" spans="1:15">
      <c r="C129" s="7"/>
      <c r="D129" s="7"/>
    </row>
    <row r="130" spans="1:15">
      <c r="B130" s="53"/>
      <c r="C130" s="53"/>
      <c r="D130" s="53"/>
      <c r="E130" s="53"/>
    </row>
    <row r="131" spans="1:15">
      <c r="B131" s="53"/>
      <c r="C131" s="53"/>
      <c r="D131" s="53"/>
      <c r="E131" s="54"/>
    </row>
    <row r="132" spans="1:15">
      <c r="B132" s="53"/>
      <c r="C132" s="53"/>
      <c r="D132" s="53"/>
      <c r="E132" s="54"/>
    </row>
    <row r="133" spans="1:15">
      <c r="B133" s="53"/>
      <c r="C133" s="53"/>
      <c r="D133" s="53"/>
      <c r="E133" s="54"/>
    </row>
    <row r="134" spans="1:15">
      <c r="B134" s="53"/>
      <c r="C134" s="53"/>
      <c r="D134" s="53"/>
      <c r="E134" s="54"/>
    </row>
    <row r="135" spans="1:15">
      <c r="C135" s="7"/>
      <c r="D135" s="7"/>
      <c r="E135" s="7"/>
    </row>
    <row r="136" spans="1:15">
      <c r="D136" s="7"/>
      <c r="E136" s="7"/>
      <c r="I136"/>
      <c r="J136"/>
      <c r="K136"/>
      <c r="L136"/>
      <c r="M136"/>
      <c r="N136"/>
      <c r="O136"/>
    </row>
    <row r="137" spans="1:15">
      <c r="D137" s="7"/>
      <c r="E137" s="7"/>
      <c r="I137"/>
      <c r="J137"/>
      <c r="K137"/>
      <c r="L137"/>
      <c r="M137"/>
      <c r="N137"/>
      <c r="O137"/>
    </row>
    <row r="138" spans="1:15">
      <c r="D138" s="7"/>
      <c r="E138" s="7"/>
      <c r="I138"/>
      <c r="J138"/>
      <c r="K138"/>
      <c r="L138"/>
      <c r="M138"/>
      <c r="N138"/>
      <c r="O138"/>
    </row>
    <row r="139" spans="1:15">
      <c r="C139" s="7"/>
      <c r="D139" s="7"/>
      <c r="E139" s="7"/>
      <c r="I139"/>
      <c r="J139"/>
      <c r="K139"/>
      <c r="L139"/>
      <c r="M139"/>
      <c r="N139"/>
      <c r="O139"/>
    </row>
    <row r="140" spans="1:15">
      <c r="A140" s="55"/>
      <c r="C140" s="7"/>
      <c r="D140" s="7"/>
      <c r="E140" s="7"/>
      <c r="I140"/>
      <c r="J140"/>
      <c r="K140"/>
      <c r="L140"/>
      <c r="M140"/>
      <c r="N140"/>
      <c r="O140"/>
    </row>
    <row r="141" spans="1:15">
      <c r="A141" s="55"/>
      <c r="C141" s="7"/>
      <c r="D141" s="7"/>
      <c r="E141" s="7"/>
      <c r="I141"/>
      <c r="J141"/>
      <c r="K141"/>
      <c r="L141"/>
      <c r="M141"/>
      <c r="N141"/>
      <c r="O141"/>
    </row>
    <row r="142" spans="1:15">
      <c r="C142" s="7"/>
      <c r="D142" s="7"/>
      <c r="I142"/>
      <c r="J142"/>
      <c r="K142"/>
      <c r="L142"/>
      <c r="M142"/>
      <c r="N142"/>
      <c r="O142"/>
    </row>
    <row r="143" spans="1:15">
      <c r="C143" s="7"/>
      <c r="D143" s="7"/>
      <c r="I143"/>
      <c r="J143"/>
      <c r="K143"/>
      <c r="L143"/>
      <c r="M143"/>
      <c r="N143"/>
      <c r="O143"/>
    </row>
    <row r="144" spans="1:15">
      <c r="D144" s="7"/>
      <c r="I144"/>
      <c r="J144"/>
      <c r="K144"/>
      <c r="L144"/>
      <c r="M144"/>
      <c r="N144"/>
      <c r="O144"/>
    </row>
    <row r="145" spans="2:15">
      <c r="C145" s="7"/>
      <c r="D145" s="7"/>
      <c r="I145"/>
      <c r="J145"/>
      <c r="K145"/>
      <c r="L145"/>
      <c r="M145"/>
      <c r="N145"/>
      <c r="O145"/>
    </row>
    <row r="146" spans="2:15">
      <c r="B146" s="53"/>
      <c r="C146" s="54"/>
      <c r="D146" s="54"/>
      <c r="E146" s="54"/>
      <c r="I146"/>
      <c r="J146"/>
      <c r="K146"/>
      <c r="L146"/>
      <c r="M146"/>
      <c r="N146"/>
      <c r="O146"/>
    </row>
    <row r="147" spans="2:15">
      <c r="D147" s="1"/>
      <c r="I147"/>
      <c r="J147"/>
      <c r="K147"/>
      <c r="L147"/>
      <c r="M147"/>
      <c r="N147"/>
      <c r="O147"/>
    </row>
    <row r="148" spans="2:15">
      <c r="D148" s="1"/>
      <c r="I148"/>
      <c r="J148"/>
      <c r="K148"/>
      <c r="L148"/>
      <c r="M148"/>
      <c r="N148"/>
      <c r="O148"/>
    </row>
    <row r="149" spans="2:15">
      <c r="D149" s="1"/>
      <c r="I149"/>
      <c r="J149"/>
      <c r="K149"/>
      <c r="L149"/>
      <c r="M149"/>
      <c r="N149"/>
      <c r="O149"/>
    </row>
    <row r="150" spans="2:15">
      <c r="I150"/>
      <c r="J150"/>
      <c r="K150"/>
      <c r="L150"/>
      <c r="M150"/>
      <c r="N150"/>
      <c r="O150"/>
    </row>
    <row r="151" spans="2:15">
      <c r="I151"/>
      <c r="J151"/>
      <c r="K151"/>
      <c r="L151"/>
      <c r="M151"/>
      <c r="N151"/>
      <c r="O151"/>
    </row>
  </sheetData>
  <autoFilter ref="A2:AR125" xr:uid="{00000000-0009-0000-0000-000000000000}">
    <sortState xmlns:xlrd2="http://schemas.microsoft.com/office/spreadsheetml/2017/richdata2" ref="A3:O125">
      <sortCondition ref="A2:A125"/>
    </sortState>
  </autoFilter>
  <sortState xmlns:xlrd2="http://schemas.microsoft.com/office/spreadsheetml/2017/richdata2" ref="A47:E77">
    <sortCondition ref="A47"/>
  </sortState>
  <mergeCells count="1">
    <mergeCell ref="B126:E126"/>
  </mergeCells>
  <hyperlinks>
    <hyperlink ref="O99" r:id="rId1" xr:uid="{00000000-0004-0000-0000-000000000000}"/>
    <hyperlink ref="O62" r:id="rId2" xr:uid="{00000000-0004-0000-0000-000003000000}"/>
    <hyperlink ref="O63" r:id="rId3" xr:uid="{00000000-0004-0000-0000-000004000000}"/>
    <hyperlink ref="O98" r:id="rId4" xr:uid="{00000000-0004-0000-0000-00000F000000}"/>
    <hyperlink ref="O36" r:id="rId5" xr:uid="{00000000-0004-0000-0000-00001C000000}"/>
    <hyperlink ref="O37" r:id="rId6" xr:uid="{00000000-0004-0000-0000-00001D000000}"/>
    <hyperlink ref="O119" r:id="rId7" xr:uid="{00000000-0004-0000-0000-000024000000}"/>
    <hyperlink ref="O42" r:id="rId8" xr:uid="{00000000-0004-0000-0000-000028000000}"/>
    <hyperlink ref="O43" r:id="rId9" xr:uid="{00000000-0004-0000-0000-000033000000}"/>
    <hyperlink ref="O44" r:id="rId10" xr:uid="{00000000-0004-0000-0000-000035000000}"/>
    <hyperlink ref="O46" r:id="rId11" xr:uid="{00000000-0004-0000-0000-000036000000}"/>
    <hyperlink ref="O47" r:id="rId12" xr:uid="{00000000-0004-0000-0000-000037000000}"/>
    <hyperlink ref="O48" r:id="rId13" xr:uid="{00000000-0004-0000-0000-000038000000}"/>
    <hyperlink ref="O45" r:id="rId14" xr:uid="{00000000-0004-0000-0000-000039000000}"/>
    <hyperlink ref="O65" r:id="rId15" xr:uid="{00000000-0004-0000-0000-00003B000000}"/>
    <hyperlink ref="O68" r:id="rId16" xr:uid="{00000000-0004-0000-0000-00003C000000}"/>
    <hyperlink ref="O105" r:id="rId17" xr:uid="{00000000-0004-0000-0000-00003D000000}"/>
    <hyperlink ref="O74" r:id="rId18" xr:uid="{00000000-0004-0000-0000-00003F000000}"/>
    <hyperlink ref="O12" r:id="rId19" xr:uid="{00000000-0004-0000-0000-000041000000}"/>
    <hyperlink ref="O80" r:id="rId20" xr:uid="{00000000-0004-0000-0000-000046000000}"/>
    <hyperlink ref="O35" r:id="rId21" xr:uid="{F1725F4E-0E1C-4045-94AE-9391744C7117}"/>
    <hyperlink ref="O87" r:id="rId22" xr:uid="{C8D8580F-816C-4DBD-9672-45E96DD99C03}"/>
    <hyperlink ref="O110" r:id="rId23" xr:uid="{38EC8591-6E15-4116-8977-B711BDCCE805}"/>
    <hyperlink ref="O30" r:id="rId24" xr:uid="{07890D08-E7D4-44C5-8791-61D58C90B3A2}"/>
    <hyperlink ref="O13" r:id="rId25" xr:uid="{56A265DD-A89A-480D-B778-D3240154D565}"/>
    <hyperlink ref="O4" r:id="rId26" xr:uid="{FCF65810-CE17-4ECA-8DB1-F802A96CAAC4}"/>
    <hyperlink ref="O3" r:id="rId27" xr:uid="{1B4D707A-B5D2-4B4B-A9BB-21277502B07B}"/>
    <hyperlink ref="O67" r:id="rId28" xr:uid="{916F1EAD-C19A-46FA-9B1A-8558E8A6D891}"/>
    <hyperlink ref="O117" r:id="rId29" xr:uid="{AB98F598-05D6-45AD-85D0-03632C12C155}"/>
    <hyperlink ref="O83" r:id="rId30" xr:uid="{B8639521-6416-455D-8525-B64C39FC8F3E}"/>
    <hyperlink ref="O121" r:id="rId31" xr:uid="{5EDDCB15-FB93-4C83-9379-DF7ECEEA8F15}"/>
    <hyperlink ref="O70:O71" r:id="rId32" display="lorys@fhcsd.org" xr:uid="{8EBA2A22-9BE9-4CA1-A554-B8B0F440C442}"/>
    <hyperlink ref="O7" r:id="rId33" xr:uid="{CE81FC10-9C04-461D-9897-B06A34416B3D}"/>
    <hyperlink ref="O82" r:id="rId34" xr:uid="{81BC6EBF-5F2E-425F-80FB-F840EFB041CE}"/>
    <hyperlink ref="O54" r:id="rId35" xr:uid="{7FB9D623-FACC-4B47-8FDB-C134C631F098}"/>
    <hyperlink ref="O29" r:id="rId36" display="lorys@fhcsd.org" xr:uid="{BBE53637-BDEF-4E24-A08C-0469E50230BB}"/>
    <hyperlink ref="O5" r:id="rId37" xr:uid="{370EA05C-8CAF-4E5A-913C-8E4F41FFA0C0}"/>
    <hyperlink ref="O11" r:id="rId38" xr:uid="{2FA180F4-03D8-4167-9B6C-CF5056E6EC0F}"/>
    <hyperlink ref="O51" r:id="rId39" display="lorys@fhcsd.org" xr:uid="{FCACC604-EEA0-4E47-925F-486E48568B04}"/>
    <hyperlink ref="O28" r:id="rId40" display="lorys@fhcsd.org" xr:uid="{83CEA825-EC1A-47B9-B700-D408D8605030}"/>
    <hyperlink ref="O60" r:id="rId41" xr:uid="{48DEE0F5-3966-49B3-B072-7DB3538CB033}"/>
    <hyperlink ref="O70" r:id="rId42" display="lorys@fhcsd.org" xr:uid="{BA7D6D16-00AA-44DE-8EB2-CE7E17F33300}"/>
    <hyperlink ref="O115" r:id="rId43" display="lorys@fhcsd.org" xr:uid="{734638BF-D4FD-4505-9AB7-07788938F69E}"/>
    <hyperlink ref="O107" r:id="rId44" display="lorys@fhcsd.org" xr:uid="{BB9C36C5-96BA-49E4-B36A-D8AA7C08303A}"/>
    <hyperlink ref="O81" r:id="rId45" xr:uid="{94031E9A-0E0F-4054-AC30-1855696C08EA}"/>
    <hyperlink ref="O77" r:id="rId46" xr:uid="{02AED235-4997-41EE-A917-298B2B482C3D}"/>
    <hyperlink ref="O59" r:id="rId47" xr:uid="{A95FC977-A634-4D48-9E12-3C222EE12211}"/>
    <hyperlink ref="O118" r:id="rId48" xr:uid="{C2DF0025-149E-4EE4-AEA5-01ECE9D69FBC}"/>
    <hyperlink ref="O32" r:id="rId49" xr:uid="{B9F9D030-7DEB-4416-BE30-89A33E445ADE}"/>
    <hyperlink ref="O66" r:id="rId50" xr:uid="{95040138-A19C-4A61-B3E1-3FFBE88B0AD3}"/>
    <hyperlink ref="O101" r:id="rId51" xr:uid="{B98C427F-6E34-4224-AC60-B71B0DED431D}"/>
    <hyperlink ref="O100" r:id="rId52" xr:uid="{A6A9EF74-8057-40D8-9CD5-FC88CD414C75}"/>
    <hyperlink ref="O112" r:id="rId53" xr:uid="{F8AE6A45-3250-491A-8D16-D68CCD6F8B6F}"/>
    <hyperlink ref="O88" r:id="rId54" xr:uid="{48AC5DBD-AFA1-404F-92A5-755BF903E38A}"/>
    <hyperlink ref="O6" r:id="rId55" xr:uid="{49381672-77BA-42F4-BFBC-6F19EE08DA8D}"/>
    <hyperlink ref="O31" r:id="rId56" xr:uid="{2CA4BFB9-9E8C-48EC-9A4F-C7D3A4AA0FAF}"/>
    <hyperlink ref="O22" r:id="rId57" xr:uid="{280A53E4-6F00-421C-AE50-937D2F4BB95D}"/>
    <hyperlink ref="O23" r:id="rId58" xr:uid="{381A865A-7B1A-4619-9B44-BFABF638D196}"/>
    <hyperlink ref="O24" r:id="rId59" xr:uid="{86633761-EE22-4D4A-B0B9-3B8AD1E05C01}"/>
    <hyperlink ref="O25" r:id="rId60" xr:uid="{199D7F89-62B5-40DA-8DA8-7DA71389CF2F}"/>
    <hyperlink ref="O109" r:id="rId61" xr:uid="{EB24375C-21C6-4F59-89B9-D87EBA03AA07}"/>
    <hyperlink ref="O49" r:id="rId62" xr:uid="{E45F6D8B-4511-4D4F-9ECB-C0BC291DC239}"/>
    <hyperlink ref="O50" r:id="rId63" xr:uid="{30B457B1-FB4F-444F-A3CC-7DE1631D13BA}"/>
    <hyperlink ref="O76" r:id="rId64" xr:uid="{B58E72F6-E2C7-43A6-A075-9AB3EA3F3AE9}"/>
    <hyperlink ref="O75" r:id="rId65" xr:uid="{789EAB7D-B5DA-401C-B1B2-1429C2813B5D}"/>
    <hyperlink ref="O71" r:id="rId66" display="lorys@fhcsd.org" xr:uid="{24136700-3DFE-419A-9EF3-9CFB9AC7DE83}"/>
    <hyperlink ref="O56" r:id="rId67" xr:uid="{BC00BAFB-B6FB-4132-9CA1-4313E91CD2A7}"/>
    <hyperlink ref="O55" r:id="rId68" xr:uid="{E9934B45-5E08-460D-8ECA-591DA24EABB1}"/>
    <hyperlink ref="O91" r:id="rId69" xr:uid="{3E6D845D-78F6-4F63-8A5E-67EF52A4E1F8}"/>
    <hyperlink ref="O113" r:id="rId70" xr:uid="{57F0B59A-259D-4041-A1ED-E1FB26487067}"/>
    <hyperlink ref="O86" r:id="rId71" xr:uid="{69B496E6-5D43-488D-B166-B7B0D36C8A5C}"/>
    <hyperlink ref="N106" r:id="rId72" xr:uid="{DB3AB879-D0EF-48F9-879E-4ED77BED3B71}"/>
    <hyperlink ref="O114" r:id="rId73" xr:uid="{F024F7CE-3E9F-455D-AF0C-410517231A04}"/>
    <hyperlink ref="N40" r:id="rId74" xr:uid="{EE07C3DD-ACAE-44D1-8A00-9D28391A0EB7}"/>
    <hyperlink ref="N38" r:id="rId75" xr:uid="{ACEA7635-4B69-4F7C-9605-60C4714F6339}"/>
    <hyperlink ref="N123" r:id="rId76" xr:uid="{36867AE4-B865-4C25-A12C-AD0507C3B647}"/>
  </hyperlinks>
  <pageMargins left="0.7" right="0.7" top="0.75" bottom="0.75" header="0.3" footer="0.3"/>
  <pageSetup orientation="portrait" r:id="rId7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O204"/>
  <sheetViews>
    <sheetView zoomScale="80" zoomScaleNormal="80" workbookViewId="0">
      <pane ySplit="1" topLeftCell="A23" activePane="bottomLeft" state="frozen"/>
      <selection pane="bottomLeft" activeCell="I38" sqref="I38"/>
    </sheetView>
  </sheetViews>
  <sheetFormatPr defaultRowHeight="14.5"/>
  <cols>
    <col min="1" max="1" width="26.453125" customWidth="1"/>
    <col min="2" max="2" width="16.36328125" style="1" customWidth="1"/>
    <col min="3" max="3" width="19.36328125" style="1" customWidth="1"/>
    <col min="4" max="4" width="22.08984375" style="8" customWidth="1"/>
    <col min="5" max="5" width="11.90625" style="1" customWidth="1"/>
    <col min="6" max="6" width="12.453125" style="1" customWidth="1"/>
    <col min="7" max="7" width="20.453125" style="1" customWidth="1"/>
    <col min="8" max="8" width="19.54296875" style="1" customWidth="1"/>
    <col min="9" max="9" width="18.08984375" style="1" customWidth="1"/>
    <col min="10" max="10" width="16.90625" style="1" customWidth="1"/>
    <col min="11" max="11" width="52" style="27" customWidth="1"/>
    <col min="12" max="12" width="21.90625" customWidth="1"/>
    <col min="13" max="13" width="23.36328125" customWidth="1"/>
    <col min="14" max="14" width="63.6328125" customWidth="1"/>
  </cols>
  <sheetData>
    <row r="1" spans="1:15" s="1" customFormat="1" ht="72.75" customHeight="1">
      <c r="A1" s="20" t="s">
        <v>113</v>
      </c>
      <c r="B1" s="21" t="s">
        <v>1</v>
      </c>
      <c r="C1" s="20" t="s">
        <v>2</v>
      </c>
      <c r="D1" s="22" t="s">
        <v>3</v>
      </c>
      <c r="E1" s="21" t="s">
        <v>4</v>
      </c>
      <c r="F1" s="20" t="s">
        <v>114</v>
      </c>
      <c r="G1" s="20" t="s">
        <v>6</v>
      </c>
      <c r="H1" s="20" t="s">
        <v>7</v>
      </c>
      <c r="I1" s="23" t="s">
        <v>115</v>
      </c>
      <c r="J1" s="23" t="s">
        <v>9</v>
      </c>
      <c r="K1" s="26" t="s">
        <v>116</v>
      </c>
      <c r="L1" s="24" t="s">
        <v>117</v>
      </c>
      <c r="M1" s="229" t="s">
        <v>1078</v>
      </c>
      <c r="N1" s="230" t="s">
        <v>13</v>
      </c>
    </row>
    <row r="2" spans="1:15" ht="14.25" customHeight="1">
      <c r="A2" s="3" t="s">
        <v>852</v>
      </c>
      <c r="B2" s="2">
        <v>100528529</v>
      </c>
      <c r="C2" s="2">
        <v>26403468</v>
      </c>
      <c r="D2" s="3" t="s">
        <v>171</v>
      </c>
      <c r="E2" s="2" t="s">
        <v>48</v>
      </c>
      <c r="F2" s="2">
        <v>2</v>
      </c>
      <c r="G2" s="41" t="s">
        <v>137</v>
      </c>
      <c r="H2" s="6" t="s">
        <v>54</v>
      </c>
      <c r="I2" s="39">
        <v>45995</v>
      </c>
      <c r="J2" s="39">
        <v>46177</v>
      </c>
      <c r="K2" s="40"/>
      <c r="L2" s="80" t="s">
        <v>65</v>
      </c>
      <c r="M2" s="80">
        <v>7017</v>
      </c>
      <c r="N2" s="81" t="s">
        <v>66</v>
      </c>
    </row>
    <row r="3" spans="1:15" ht="14" customHeight="1">
      <c r="A3" s="218" t="s">
        <v>851</v>
      </c>
      <c r="B3" s="219">
        <v>100528529</v>
      </c>
      <c r="C3" s="219">
        <v>24532154</v>
      </c>
      <c r="D3" s="220" t="s">
        <v>171</v>
      </c>
      <c r="E3" s="219" t="s">
        <v>43</v>
      </c>
      <c r="F3" s="219">
        <v>2</v>
      </c>
      <c r="G3" s="222" t="s">
        <v>16</v>
      </c>
      <c r="H3" s="219" t="s">
        <v>863</v>
      </c>
      <c r="I3" s="152">
        <v>45909</v>
      </c>
      <c r="J3" s="223">
        <v>46000</v>
      </c>
      <c r="K3" s="224" t="s">
        <v>884</v>
      </c>
      <c r="L3" s="112" t="s">
        <v>65</v>
      </c>
      <c r="M3" s="112">
        <v>7017</v>
      </c>
      <c r="N3" s="238" t="s">
        <v>66</v>
      </c>
    </row>
    <row r="4" spans="1:15" s="237" customFormat="1" ht="14.25" customHeight="1">
      <c r="A4" s="142" t="s">
        <v>14</v>
      </c>
      <c r="B4" s="143">
        <v>101308633</v>
      </c>
      <c r="C4" s="143">
        <v>27125033</v>
      </c>
      <c r="D4" s="142" t="s">
        <v>1125</v>
      </c>
      <c r="E4" s="143" t="s">
        <v>74</v>
      </c>
      <c r="F4" s="143">
        <v>2</v>
      </c>
      <c r="G4" s="306" t="s">
        <v>1126</v>
      </c>
      <c r="H4" s="258" t="s">
        <v>17</v>
      </c>
      <c r="I4" s="296">
        <v>46031</v>
      </c>
      <c r="J4" s="296">
        <v>46062</v>
      </c>
      <c r="K4" s="328" t="s">
        <v>939</v>
      </c>
      <c r="L4" s="257" t="s">
        <v>900</v>
      </c>
      <c r="M4" s="143" t="s">
        <v>19</v>
      </c>
      <c r="N4" s="292" t="s">
        <v>901</v>
      </c>
      <c r="O4" s="236"/>
    </row>
    <row r="5" spans="1:15" ht="14" customHeight="1">
      <c r="A5" s="51" t="s">
        <v>1046</v>
      </c>
      <c r="B5" s="47">
        <v>101157222</v>
      </c>
      <c r="C5" s="47">
        <v>25992939</v>
      </c>
      <c r="D5" s="56" t="s">
        <v>818</v>
      </c>
      <c r="E5" s="47" t="s">
        <v>48</v>
      </c>
      <c r="F5" s="47">
        <v>2</v>
      </c>
      <c r="G5" s="275" t="s">
        <v>120</v>
      </c>
      <c r="H5" s="6" t="s">
        <v>54</v>
      </c>
      <c r="I5" s="57">
        <v>46005</v>
      </c>
      <c r="J5" s="49">
        <v>46095</v>
      </c>
      <c r="K5" s="276"/>
      <c r="L5" s="2" t="s">
        <v>680</v>
      </c>
      <c r="M5" s="2">
        <v>3763</v>
      </c>
      <c r="N5" s="17" t="s">
        <v>681</v>
      </c>
    </row>
    <row r="6" spans="1:15" s="340" customFormat="1">
      <c r="A6" s="335" t="s">
        <v>122</v>
      </c>
      <c r="B6" s="281">
        <v>100024820</v>
      </c>
      <c r="C6" s="281">
        <v>25983481</v>
      </c>
      <c r="D6" s="282" t="s">
        <v>123</v>
      </c>
      <c r="E6" s="281" t="s">
        <v>74</v>
      </c>
      <c r="F6" s="281">
        <v>2</v>
      </c>
      <c r="G6" s="336" t="s">
        <v>618</v>
      </c>
      <c r="H6" s="281" t="s">
        <v>125</v>
      </c>
      <c r="I6" s="337">
        <v>45974</v>
      </c>
      <c r="J6" s="337">
        <v>46060</v>
      </c>
      <c r="K6" s="338" t="s">
        <v>896</v>
      </c>
      <c r="L6" s="312" t="s">
        <v>65</v>
      </c>
      <c r="M6" s="312">
        <v>7017</v>
      </c>
      <c r="N6" s="339" t="s">
        <v>66</v>
      </c>
    </row>
    <row r="7" spans="1:15">
      <c r="A7" s="218" t="s">
        <v>820</v>
      </c>
      <c r="B7" s="219">
        <v>101164531</v>
      </c>
      <c r="C7" s="219">
        <v>22215887</v>
      </c>
      <c r="D7" s="220" t="s">
        <v>818</v>
      </c>
      <c r="E7" s="219" t="s">
        <v>90</v>
      </c>
      <c r="F7" s="219">
        <v>2</v>
      </c>
      <c r="G7" s="222" t="s">
        <v>821</v>
      </c>
      <c r="H7" s="219" t="s">
        <v>819</v>
      </c>
      <c r="I7" s="152">
        <v>45793</v>
      </c>
      <c r="J7" s="223">
        <v>45918</v>
      </c>
      <c r="K7" s="224" t="s">
        <v>884</v>
      </c>
      <c r="L7" s="112"/>
      <c r="M7" s="2"/>
      <c r="N7" s="17"/>
    </row>
    <row r="8" spans="1:15" s="237" customFormat="1">
      <c r="A8" s="142" t="s">
        <v>135</v>
      </c>
      <c r="B8" s="143">
        <v>100130870</v>
      </c>
      <c r="C8" s="143">
        <v>26730686</v>
      </c>
      <c r="D8" s="258" t="s">
        <v>123</v>
      </c>
      <c r="E8" s="143" t="s">
        <v>48</v>
      </c>
      <c r="F8" s="143">
        <v>2</v>
      </c>
      <c r="G8" s="304" t="s">
        <v>137</v>
      </c>
      <c r="H8" s="143" t="s">
        <v>138</v>
      </c>
      <c r="I8" s="296">
        <v>46009</v>
      </c>
      <c r="J8" s="296">
        <v>46189</v>
      </c>
      <c r="K8" s="328"/>
      <c r="L8" s="329" t="s">
        <v>65</v>
      </c>
      <c r="M8" s="329">
        <v>7017</v>
      </c>
      <c r="N8" s="318" t="s">
        <v>66</v>
      </c>
    </row>
    <row r="9" spans="1:15">
      <c r="A9" s="52" t="s">
        <v>839</v>
      </c>
      <c r="B9" s="43">
        <v>101412699</v>
      </c>
      <c r="C9" s="43">
        <v>26712758</v>
      </c>
      <c r="D9" s="52" t="s">
        <v>966</v>
      </c>
      <c r="E9" s="43" t="s">
        <v>40</v>
      </c>
      <c r="F9" s="43">
        <v>2</v>
      </c>
      <c r="G9" s="41" t="s">
        <v>967</v>
      </c>
      <c r="H9" s="45" t="s">
        <v>156</v>
      </c>
      <c r="I9" s="250">
        <v>46009</v>
      </c>
      <c r="J9" s="250">
        <v>46127</v>
      </c>
      <c r="K9" s="216"/>
      <c r="L9" s="15" t="s">
        <v>44</v>
      </c>
      <c r="M9" s="2">
        <v>1707</v>
      </c>
      <c r="N9" s="31" t="s">
        <v>910</v>
      </c>
    </row>
    <row r="10" spans="1:15">
      <c r="A10" s="52" t="s">
        <v>839</v>
      </c>
      <c r="B10" s="43">
        <v>101412699</v>
      </c>
      <c r="C10" s="43">
        <v>26712758</v>
      </c>
      <c r="D10" s="52" t="s">
        <v>635</v>
      </c>
      <c r="E10" s="43" t="s">
        <v>48</v>
      </c>
      <c r="F10" s="43">
        <v>2</v>
      </c>
      <c r="G10" s="41" t="s">
        <v>506</v>
      </c>
      <c r="H10" s="45" t="s">
        <v>156</v>
      </c>
      <c r="I10" s="250">
        <v>46009</v>
      </c>
      <c r="J10" s="250">
        <v>46127</v>
      </c>
      <c r="K10" s="216"/>
      <c r="L10" s="15" t="s">
        <v>44</v>
      </c>
      <c r="M10" s="2">
        <v>1707</v>
      </c>
      <c r="N10" s="31" t="s">
        <v>910</v>
      </c>
    </row>
    <row r="11" spans="1:15">
      <c r="A11" s="52" t="s">
        <v>839</v>
      </c>
      <c r="B11" s="43">
        <v>101412699</v>
      </c>
      <c r="C11" s="43">
        <v>26712758</v>
      </c>
      <c r="D11" s="52" t="s">
        <v>126</v>
      </c>
      <c r="E11" s="43" t="s">
        <v>48</v>
      </c>
      <c r="F11" s="43">
        <v>2</v>
      </c>
      <c r="G11" s="41" t="s">
        <v>95</v>
      </c>
      <c r="H11" s="45" t="s">
        <v>156</v>
      </c>
      <c r="I11" s="250">
        <v>46009</v>
      </c>
      <c r="J11" s="250">
        <v>46127</v>
      </c>
      <c r="K11" s="216"/>
      <c r="L11" s="2" t="s">
        <v>44</v>
      </c>
      <c r="M11" s="2">
        <v>1707</v>
      </c>
      <c r="N11" s="17" t="s">
        <v>910</v>
      </c>
    </row>
    <row r="12" spans="1:15" s="115" customFormat="1">
      <c r="A12" s="111" t="s">
        <v>853</v>
      </c>
      <c r="B12" s="112">
        <v>100754702</v>
      </c>
      <c r="C12" s="112">
        <v>25213847</v>
      </c>
      <c r="D12" s="113" t="s">
        <v>123</v>
      </c>
      <c r="E12" s="112" t="s">
        <v>74</v>
      </c>
      <c r="F12" s="112">
        <v>2</v>
      </c>
      <c r="G12" s="116" t="s">
        <v>795</v>
      </c>
      <c r="H12" s="112" t="s">
        <v>869</v>
      </c>
      <c r="I12" s="152">
        <v>45940</v>
      </c>
      <c r="J12" s="152">
        <v>46112</v>
      </c>
      <c r="K12" s="315" t="s">
        <v>829</v>
      </c>
      <c r="L12" s="112" t="s">
        <v>44</v>
      </c>
      <c r="M12" s="112">
        <v>1707</v>
      </c>
      <c r="N12" s="238" t="s">
        <v>910</v>
      </c>
    </row>
    <row r="13" spans="1:15" s="115" customFormat="1">
      <c r="A13" s="111" t="s">
        <v>853</v>
      </c>
      <c r="B13" s="112">
        <v>100754702</v>
      </c>
      <c r="C13" s="112">
        <v>25213847</v>
      </c>
      <c r="D13" s="113" t="s">
        <v>818</v>
      </c>
      <c r="E13" s="112" t="s">
        <v>23</v>
      </c>
      <c r="F13" s="112">
        <v>2</v>
      </c>
      <c r="G13" s="116" t="s">
        <v>868</v>
      </c>
      <c r="H13" s="112" t="s">
        <v>869</v>
      </c>
      <c r="I13" s="152">
        <v>45940</v>
      </c>
      <c r="J13" s="152">
        <v>46112</v>
      </c>
      <c r="K13" s="315" t="s">
        <v>829</v>
      </c>
      <c r="L13" s="112" t="s">
        <v>44</v>
      </c>
      <c r="M13" s="112">
        <v>1707</v>
      </c>
      <c r="N13" s="238" t="s">
        <v>910</v>
      </c>
    </row>
    <row r="14" spans="1:15">
      <c r="A14" s="3" t="s">
        <v>144</v>
      </c>
      <c r="B14" s="43">
        <v>101306395</v>
      </c>
      <c r="C14" s="2">
        <v>25758128</v>
      </c>
      <c r="D14" s="6" t="s">
        <v>123</v>
      </c>
      <c r="E14" s="2" t="s">
        <v>40</v>
      </c>
      <c r="F14" s="2">
        <v>2</v>
      </c>
      <c r="G14" s="41" t="s">
        <v>1075</v>
      </c>
      <c r="H14" s="2" t="s">
        <v>146</v>
      </c>
      <c r="I14" s="39">
        <v>45966</v>
      </c>
      <c r="J14" s="39">
        <v>46147</v>
      </c>
      <c r="K14" s="42"/>
      <c r="L14" s="2" t="s">
        <v>44</v>
      </c>
      <c r="M14" s="2">
        <v>1707</v>
      </c>
      <c r="N14" s="17" t="s">
        <v>910</v>
      </c>
    </row>
    <row r="15" spans="1:15">
      <c r="A15" s="3" t="s">
        <v>144</v>
      </c>
      <c r="B15" s="43">
        <v>101306395</v>
      </c>
      <c r="C15" s="2">
        <v>25758128</v>
      </c>
      <c r="D15" s="6" t="s">
        <v>881</v>
      </c>
      <c r="E15" s="2" t="s">
        <v>48</v>
      </c>
      <c r="F15" s="2">
        <v>2</v>
      </c>
      <c r="G15" s="41" t="s">
        <v>98</v>
      </c>
      <c r="H15" s="2" t="s">
        <v>146</v>
      </c>
      <c r="I15" s="39">
        <v>45966</v>
      </c>
      <c r="J15" s="39">
        <v>46147</v>
      </c>
      <c r="K15" s="42"/>
      <c r="L15" s="2" t="s">
        <v>44</v>
      </c>
      <c r="M15" s="2">
        <v>1707</v>
      </c>
      <c r="N15" s="17" t="s">
        <v>910</v>
      </c>
    </row>
    <row r="16" spans="1:15">
      <c r="A16" s="3" t="s">
        <v>50</v>
      </c>
      <c r="B16" s="2">
        <v>100038800</v>
      </c>
      <c r="C16" s="2">
        <v>26473904</v>
      </c>
      <c r="D16" s="6" t="s">
        <v>119</v>
      </c>
      <c r="E16" s="2" t="s">
        <v>23</v>
      </c>
      <c r="F16" s="2">
        <v>2</v>
      </c>
      <c r="G16" s="41" t="s">
        <v>24</v>
      </c>
      <c r="H16" s="41" t="s">
        <v>147</v>
      </c>
      <c r="I16" s="39">
        <v>45996</v>
      </c>
      <c r="J16" s="39">
        <v>46185</v>
      </c>
      <c r="K16" s="42"/>
      <c r="L16" s="2" t="s">
        <v>25</v>
      </c>
      <c r="M16" s="2">
        <v>5940</v>
      </c>
      <c r="N16" s="17" t="s">
        <v>26</v>
      </c>
    </row>
    <row r="17" spans="1:14">
      <c r="A17" s="3" t="s">
        <v>50</v>
      </c>
      <c r="B17" s="2">
        <v>100038800</v>
      </c>
      <c r="C17" s="2">
        <v>26473904</v>
      </c>
      <c r="D17" s="6" t="s">
        <v>145</v>
      </c>
      <c r="E17" s="2" t="s">
        <v>74</v>
      </c>
      <c r="F17" s="2">
        <v>2</v>
      </c>
      <c r="G17" s="41" t="s">
        <v>75</v>
      </c>
      <c r="H17" s="41" t="s">
        <v>147</v>
      </c>
      <c r="I17" s="39">
        <v>45996</v>
      </c>
      <c r="J17" s="39">
        <v>46185</v>
      </c>
      <c r="K17" s="42"/>
      <c r="L17" s="2" t="s">
        <v>25</v>
      </c>
      <c r="M17" s="2">
        <v>5940</v>
      </c>
      <c r="N17" s="17" t="s">
        <v>26</v>
      </c>
    </row>
    <row r="18" spans="1:14">
      <c r="A18" s="3" t="s">
        <v>148</v>
      </c>
      <c r="B18" s="2">
        <v>100512664</v>
      </c>
      <c r="C18" s="2">
        <v>23232183</v>
      </c>
      <c r="D18" s="6" t="s">
        <v>123</v>
      </c>
      <c r="E18" s="2" t="s">
        <v>48</v>
      </c>
      <c r="F18" s="2">
        <v>2</v>
      </c>
      <c r="G18" s="41" t="s">
        <v>34</v>
      </c>
      <c r="H18" s="41" t="s">
        <v>150</v>
      </c>
      <c r="I18" s="39">
        <v>45847</v>
      </c>
      <c r="J18" s="39">
        <v>46030</v>
      </c>
      <c r="K18" s="42" t="s">
        <v>691</v>
      </c>
      <c r="L18" s="2" t="s">
        <v>595</v>
      </c>
      <c r="M18" s="2">
        <v>7011</v>
      </c>
      <c r="N18" s="17" t="s">
        <v>596</v>
      </c>
    </row>
    <row r="19" spans="1:14">
      <c r="A19" s="3" t="s">
        <v>1054</v>
      </c>
      <c r="B19" s="2">
        <v>101323503</v>
      </c>
      <c r="C19" s="2">
        <v>26242044</v>
      </c>
      <c r="D19" s="6"/>
      <c r="E19" s="2" t="s">
        <v>48</v>
      </c>
      <c r="F19" s="2">
        <v>2</v>
      </c>
      <c r="G19" s="41" t="s">
        <v>959</v>
      </c>
      <c r="H19" s="41" t="s">
        <v>959</v>
      </c>
      <c r="I19" s="39">
        <v>45986</v>
      </c>
      <c r="J19" s="39">
        <v>46022</v>
      </c>
      <c r="K19" s="42"/>
      <c r="L19" s="80" t="s">
        <v>65</v>
      </c>
      <c r="M19" s="80">
        <v>7017</v>
      </c>
      <c r="N19" s="81" t="s">
        <v>66</v>
      </c>
    </row>
    <row r="20" spans="1:14">
      <c r="A20" s="3" t="s">
        <v>849</v>
      </c>
      <c r="B20" s="2">
        <v>101375560</v>
      </c>
      <c r="C20" s="2">
        <v>26816416</v>
      </c>
      <c r="D20" s="6" t="s">
        <v>594</v>
      </c>
      <c r="E20" s="2" t="s">
        <v>74</v>
      </c>
      <c r="F20" s="2">
        <v>2</v>
      </c>
      <c r="G20" s="41" t="s">
        <v>638</v>
      </c>
      <c r="H20" s="41" t="s">
        <v>156</v>
      </c>
      <c r="I20" s="39">
        <v>46017</v>
      </c>
      <c r="J20" s="39">
        <v>46157</v>
      </c>
      <c r="K20" s="42"/>
      <c r="L20" s="2" t="s">
        <v>595</v>
      </c>
      <c r="M20" s="2">
        <v>7011</v>
      </c>
      <c r="N20" s="17" t="s">
        <v>596</v>
      </c>
    </row>
    <row r="21" spans="1:14">
      <c r="A21" s="3" t="s">
        <v>831</v>
      </c>
      <c r="B21" s="2">
        <v>101289778</v>
      </c>
      <c r="C21" s="2">
        <v>25569214</v>
      </c>
      <c r="D21" s="6" t="s">
        <v>128</v>
      </c>
      <c r="E21" s="2" t="s">
        <v>48</v>
      </c>
      <c r="F21" s="2">
        <v>2</v>
      </c>
      <c r="G21" s="41" t="s">
        <v>140</v>
      </c>
      <c r="H21" s="41" t="s">
        <v>227</v>
      </c>
      <c r="I21" s="39">
        <v>46023</v>
      </c>
      <c r="J21" s="39">
        <v>46073</v>
      </c>
      <c r="K21" s="40"/>
      <c r="L21" s="2" t="s">
        <v>899</v>
      </c>
      <c r="M21" s="86" t="s">
        <v>151</v>
      </c>
      <c r="N21" s="17" t="s">
        <v>902</v>
      </c>
    </row>
    <row r="22" spans="1:14" s="237" customFormat="1">
      <c r="A22" s="142" t="s">
        <v>1084</v>
      </c>
      <c r="B22" s="143">
        <v>100754584</v>
      </c>
      <c r="C22" s="143">
        <v>27177689</v>
      </c>
      <c r="D22" s="258" t="s">
        <v>956</v>
      </c>
      <c r="E22" s="143" t="s">
        <v>48</v>
      </c>
      <c r="F22" s="143">
        <v>2</v>
      </c>
      <c r="G22" s="296" t="s">
        <v>29</v>
      </c>
      <c r="H22" s="296" t="s">
        <v>1067</v>
      </c>
      <c r="I22" s="296">
        <v>46031</v>
      </c>
      <c r="J22" s="296">
        <v>46128</v>
      </c>
      <c r="K22" s="328"/>
      <c r="L22" s="143"/>
      <c r="M22" s="292"/>
      <c r="N22" s="236"/>
    </row>
    <row r="23" spans="1:14">
      <c r="A23" s="3" t="s">
        <v>153</v>
      </c>
      <c r="B23" s="2">
        <v>100151102</v>
      </c>
      <c r="C23" s="2">
        <v>23231830</v>
      </c>
      <c r="D23" s="6" t="s">
        <v>878</v>
      </c>
      <c r="E23" s="2" t="s">
        <v>48</v>
      </c>
      <c r="F23" s="2">
        <v>2</v>
      </c>
      <c r="G23" s="41" t="s">
        <v>137</v>
      </c>
      <c r="H23" s="41" t="s">
        <v>227</v>
      </c>
      <c r="I23" s="39">
        <v>45847</v>
      </c>
      <c r="J23" s="39">
        <v>46030</v>
      </c>
      <c r="K23" s="40"/>
      <c r="L23" s="2" t="s">
        <v>595</v>
      </c>
      <c r="M23" s="2">
        <v>7011</v>
      </c>
      <c r="N23" s="17" t="s">
        <v>596</v>
      </c>
    </row>
    <row r="24" spans="1:14" s="237" customFormat="1" ht="14" customHeight="1">
      <c r="A24" s="142" t="s">
        <v>154</v>
      </c>
      <c r="B24" s="143">
        <v>100798512</v>
      </c>
      <c r="C24" s="143">
        <v>26986703</v>
      </c>
      <c r="D24" s="258" t="s">
        <v>629</v>
      </c>
      <c r="E24" s="143" t="s">
        <v>74</v>
      </c>
      <c r="F24" s="143">
        <v>2</v>
      </c>
      <c r="G24" s="304" t="s">
        <v>235</v>
      </c>
      <c r="H24" s="304" t="s">
        <v>156</v>
      </c>
      <c r="I24" s="302">
        <v>46024</v>
      </c>
      <c r="J24" s="302">
        <v>46143</v>
      </c>
      <c r="K24" s="143"/>
      <c r="L24" s="143" t="s">
        <v>595</v>
      </c>
      <c r="M24" s="143">
        <v>7011</v>
      </c>
      <c r="N24" s="236" t="s">
        <v>596</v>
      </c>
    </row>
    <row r="25" spans="1:14" s="237" customFormat="1" ht="14.25" customHeight="1">
      <c r="A25" s="142" t="s">
        <v>154</v>
      </c>
      <c r="B25" s="143">
        <v>100798512</v>
      </c>
      <c r="C25" s="143">
        <v>26986703</v>
      </c>
      <c r="D25" s="258" t="s">
        <v>202</v>
      </c>
      <c r="E25" s="143" t="s">
        <v>48</v>
      </c>
      <c r="F25" s="143">
        <v>2</v>
      </c>
      <c r="G25" s="304" t="s">
        <v>82</v>
      </c>
      <c r="H25" s="304" t="s">
        <v>156</v>
      </c>
      <c r="I25" s="302">
        <v>46024</v>
      </c>
      <c r="J25" s="302">
        <v>46143</v>
      </c>
      <c r="K25" s="143"/>
      <c r="L25" s="143" t="s">
        <v>595</v>
      </c>
      <c r="M25" s="143">
        <v>7011</v>
      </c>
      <c r="N25" s="236" t="s">
        <v>596</v>
      </c>
    </row>
    <row r="26" spans="1:14" ht="14.25" customHeight="1">
      <c r="A26" s="3" t="s">
        <v>157</v>
      </c>
      <c r="B26" s="2">
        <v>100367273</v>
      </c>
      <c r="C26" s="2">
        <v>23266481</v>
      </c>
      <c r="D26" s="6" t="s">
        <v>126</v>
      </c>
      <c r="E26" s="2" t="s">
        <v>37</v>
      </c>
      <c r="F26" s="2">
        <v>2</v>
      </c>
      <c r="G26" s="41" t="s">
        <v>34</v>
      </c>
      <c r="H26" s="2" t="s">
        <v>158</v>
      </c>
      <c r="I26" s="32">
        <v>45854</v>
      </c>
      <c r="J26" s="32">
        <v>46037</v>
      </c>
      <c r="K26" s="44"/>
      <c r="L26" s="2" t="s">
        <v>680</v>
      </c>
      <c r="M26" s="2">
        <v>3763</v>
      </c>
      <c r="N26" s="17" t="s">
        <v>681</v>
      </c>
    </row>
    <row r="27" spans="1:14" s="237" customFormat="1">
      <c r="A27" s="142" t="s">
        <v>161</v>
      </c>
      <c r="B27" s="143">
        <v>100096800</v>
      </c>
      <c r="C27" s="143">
        <v>27095850</v>
      </c>
      <c r="D27" s="258" t="s">
        <v>159</v>
      </c>
      <c r="E27" s="143" t="s">
        <v>23</v>
      </c>
      <c r="F27" s="143">
        <v>2</v>
      </c>
      <c r="G27" s="304" t="s">
        <v>24</v>
      </c>
      <c r="H27" s="304" t="s">
        <v>162</v>
      </c>
      <c r="I27" s="296">
        <v>46029</v>
      </c>
      <c r="J27" s="296">
        <v>46119</v>
      </c>
      <c r="K27" s="143"/>
      <c r="L27" s="143" t="s">
        <v>25</v>
      </c>
      <c r="M27" s="143">
        <v>5940</v>
      </c>
      <c r="N27" s="236" t="s">
        <v>26</v>
      </c>
    </row>
    <row r="28" spans="1:14" ht="15" customHeight="1">
      <c r="A28" s="111" t="s">
        <v>788</v>
      </c>
      <c r="B28" s="112">
        <v>101236755</v>
      </c>
      <c r="C28" s="112">
        <v>21485764</v>
      </c>
      <c r="D28" s="113" t="s">
        <v>679</v>
      </c>
      <c r="E28" s="112" t="s">
        <v>90</v>
      </c>
      <c r="F28" s="112">
        <v>2</v>
      </c>
      <c r="G28" s="116" t="s">
        <v>835</v>
      </c>
      <c r="H28" s="116" t="s">
        <v>162</v>
      </c>
      <c r="I28" s="117">
        <v>45758</v>
      </c>
      <c r="J28" s="117">
        <v>45848</v>
      </c>
      <c r="K28" s="112" t="s">
        <v>883</v>
      </c>
      <c r="L28" s="112" t="s">
        <v>25</v>
      </c>
      <c r="M28" s="2">
        <v>5940</v>
      </c>
      <c r="N28" s="17" t="s">
        <v>26</v>
      </c>
    </row>
    <row r="29" spans="1:14" ht="15" customHeight="1">
      <c r="A29" s="111" t="s">
        <v>788</v>
      </c>
      <c r="B29" s="112">
        <v>101236755</v>
      </c>
      <c r="C29" s="112">
        <v>21485764</v>
      </c>
      <c r="D29" s="113" t="s">
        <v>145</v>
      </c>
      <c r="E29" s="112" t="s">
        <v>74</v>
      </c>
      <c r="F29" s="112">
        <v>2</v>
      </c>
      <c r="G29" s="116" t="s">
        <v>75</v>
      </c>
      <c r="H29" s="116" t="s">
        <v>162</v>
      </c>
      <c r="I29" s="117">
        <v>45758</v>
      </c>
      <c r="J29" s="117">
        <v>45848</v>
      </c>
      <c r="K29" s="112" t="s">
        <v>883</v>
      </c>
      <c r="L29" s="112" t="s">
        <v>25</v>
      </c>
      <c r="M29" s="2">
        <v>5940</v>
      </c>
      <c r="N29" s="17" t="s">
        <v>26</v>
      </c>
    </row>
    <row r="30" spans="1:14" ht="15" customHeight="1">
      <c r="A30" s="111" t="s">
        <v>788</v>
      </c>
      <c r="B30" s="112">
        <v>101236755</v>
      </c>
      <c r="C30" s="112">
        <v>21485764</v>
      </c>
      <c r="D30" s="113" t="s">
        <v>141</v>
      </c>
      <c r="E30" s="112" t="s">
        <v>74</v>
      </c>
      <c r="F30" s="112">
        <v>2</v>
      </c>
      <c r="G30" s="116" t="s">
        <v>137</v>
      </c>
      <c r="H30" s="116" t="s">
        <v>162</v>
      </c>
      <c r="I30" s="117">
        <v>45758</v>
      </c>
      <c r="J30" s="117">
        <v>45848</v>
      </c>
      <c r="K30" s="112" t="s">
        <v>883</v>
      </c>
      <c r="L30" s="112" t="s">
        <v>25</v>
      </c>
      <c r="M30" s="2">
        <v>5940</v>
      </c>
      <c r="N30" s="17" t="s">
        <v>26</v>
      </c>
    </row>
    <row r="31" spans="1:14" ht="15" customHeight="1">
      <c r="A31" s="111" t="s">
        <v>788</v>
      </c>
      <c r="B31" s="112">
        <v>101236755</v>
      </c>
      <c r="C31" s="112">
        <v>21485764</v>
      </c>
      <c r="D31" s="113" t="s">
        <v>594</v>
      </c>
      <c r="E31" s="112" t="s">
        <v>23</v>
      </c>
      <c r="F31" s="112">
        <v>2</v>
      </c>
      <c r="G31" s="116" t="s">
        <v>692</v>
      </c>
      <c r="H31" s="116" t="s">
        <v>183</v>
      </c>
      <c r="I31" s="117">
        <v>45758</v>
      </c>
      <c r="J31" s="117">
        <v>45848</v>
      </c>
      <c r="K31" s="112" t="s">
        <v>883</v>
      </c>
      <c r="L31" s="112" t="s">
        <v>25</v>
      </c>
      <c r="M31" s="2">
        <v>5940</v>
      </c>
      <c r="N31" s="17" t="s">
        <v>26</v>
      </c>
    </row>
    <row r="32" spans="1:14" ht="15" customHeight="1">
      <c r="A32" s="111" t="s">
        <v>788</v>
      </c>
      <c r="B32" s="112">
        <v>101236755</v>
      </c>
      <c r="C32" s="112">
        <v>21485764</v>
      </c>
      <c r="D32" s="113" t="s">
        <v>189</v>
      </c>
      <c r="E32" s="112" t="s">
        <v>74</v>
      </c>
      <c r="F32" s="112">
        <v>2</v>
      </c>
      <c r="G32" s="116" t="s">
        <v>75</v>
      </c>
      <c r="H32" s="116" t="s">
        <v>183</v>
      </c>
      <c r="I32" s="117">
        <v>45758</v>
      </c>
      <c r="J32" s="117">
        <v>45848</v>
      </c>
      <c r="K32" s="112" t="s">
        <v>883</v>
      </c>
      <c r="L32" s="112" t="s">
        <v>25</v>
      </c>
      <c r="M32" s="2">
        <v>5940</v>
      </c>
      <c r="N32" s="17" t="s">
        <v>26</v>
      </c>
    </row>
    <row r="33" spans="1:15" s="237" customFormat="1" ht="15.65" customHeight="1">
      <c r="A33" s="142" t="s">
        <v>848</v>
      </c>
      <c r="B33" s="143">
        <v>100829155</v>
      </c>
      <c r="C33" s="143">
        <v>26898928</v>
      </c>
      <c r="D33" s="258" t="s">
        <v>123</v>
      </c>
      <c r="E33" s="143" t="s">
        <v>48</v>
      </c>
      <c r="F33" s="143">
        <v>2</v>
      </c>
      <c r="G33" s="303"/>
      <c r="H33" s="41" t="s">
        <v>134</v>
      </c>
      <c r="I33" s="302">
        <v>46020</v>
      </c>
      <c r="J33" s="302">
        <v>46201</v>
      </c>
      <c r="K33" s="143"/>
      <c r="L33" s="257"/>
      <c r="M33" s="143"/>
      <c r="N33" s="143"/>
      <c r="O33" s="236"/>
    </row>
    <row r="34" spans="1:15" ht="15" customHeight="1">
      <c r="A34" s="3" t="s">
        <v>163</v>
      </c>
      <c r="B34" s="2">
        <v>101051619</v>
      </c>
      <c r="C34" s="2">
        <v>26016803</v>
      </c>
      <c r="D34" s="6" t="s">
        <v>164</v>
      </c>
      <c r="E34" s="2" t="s">
        <v>74</v>
      </c>
      <c r="F34" s="2">
        <v>2</v>
      </c>
      <c r="G34" s="41" t="s">
        <v>795</v>
      </c>
      <c r="H34" s="41" t="s">
        <v>162</v>
      </c>
      <c r="I34" s="39">
        <v>45975</v>
      </c>
      <c r="J34" s="16">
        <v>46156</v>
      </c>
      <c r="K34" s="75"/>
      <c r="L34" s="2" t="s">
        <v>595</v>
      </c>
      <c r="M34" s="2">
        <v>7011</v>
      </c>
      <c r="N34" s="17" t="s">
        <v>596</v>
      </c>
    </row>
    <row r="35" spans="1:15" s="237" customFormat="1" ht="15" customHeight="1">
      <c r="A35" s="142" t="s">
        <v>284</v>
      </c>
      <c r="B35" s="143">
        <v>100796423</v>
      </c>
      <c r="C35" s="143">
        <v>27177428</v>
      </c>
      <c r="D35" s="258" t="s">
        <v>966</v>
      </c>
      <c r="E35" s="143" t="s">
        <v>74</v>
      </c>
      <c r="F35" s="143">
        <v>2</v>
      </c>
      <c r="G35" s="304" t="s">
        <v>1121</v>
      </c>
      <c r="H35" s="304" t="s">
        <v>199</v>
      </c>
      <c r="I35" s="296">
        <v>46031</v>
      </c>
      <c r="J35" s="296" t="s">
        <v>1122</v>
      </c>
      <c r="K35" s="313" t="s">
        <v>987</v>
      </c>
      <c r="L35" s="143" t="s">
        <v>44</v>
      </c>
      <c r="M35" s="143">
        <v>1707</v>
      </c>
      <c r="N35" s="236" t="s">
        <v>910</v>
      </c>
    </row>
    <row r="36" spans="1:15" ht="15" customHeight="1">
      <c r="A36" s="3" t="s">
        <v>57</v>
      </c>
      <c r="B36" s="2">
        <v>100894449</v>
      </c>
      <c r="C36" s="2">
        <v>26563639</v>
      </c>
      <c r="D36" s="6" t="s">
        <v>165</v>
      </c>
      <c r="E36" s="2" t="s">
        <v>160</v>
      </c>
      <c r="F36" s="2">
        <v>2</v>
      </c>
      <c r="G36" s="41" t="s">
        <v>24</v>
      </c>
      <c r="H36" s="41" t="s">
        <v>134</v>
      </c>
      <c r="I36" s="39">
        <v>46002</v>
      </c>
      <c r="J36" s="123">
        <v>46184</v>
      </c>
      <c r="K36" s="42"/>
      <c r="L36" s="80" t="s">
        <v>65</v>
      </c>
      <c r="M36" s="80">
        <v>7017</v>
      </c>
      <c r="N36" s="81" t="s">
        <v>66</v>
      </c>
    </row>
    <row r="37" spans="1:15" ht="15" customHeight="1">
      <c r="A37" s="3" t="s">
        <v>57</v>
      </c>
      <c r="B37" s="2">
        <v>100894449</v>
      </c>
      <c r="C37" s="2">
        <v>26563639</v>
      </c>
      <c r="D37" s="6" t="s">
        <v>167</v>
      </c>
      <c r="E37" s="2" t="s">
        <v>37</v>
      </c>
      <c r="F37" s="2">
        <v>2</v>
      </c>
      <c r="G37" s="41" t="s">
        <v>75</v>
      </c>
      <c r="H37" s="41" t="s">
        <v>134</v>
      </c>
      <c r="I37" s="39">
        <v>46002</v>
      </c>
      <c r="J37" s="123">
        <v>46184</v>
      </c>
      <c r="K37" s="42"/>
      <c r="L37" s="80" t="s">
        <v>65</v>
      </c>
      <c r="M37" s="80">
        <v>7017</v>
      </c>
      <c r="N37" s="81" t="s">
        <v>66</v>
      </c>
    </row>
    <row r="38" spans="1:15" ht="15" customHeight="1">
      <c r="A38" s="3" t="s">
        <v>166</v>
      </c>
      <c r="B38" s="2">
        <v>10011365</v>
      </c>
      <c r="C38" s="2">
        <v>23684203</v>
      </c>
      <c r="D38" s="6" t="s">
        <v>167</v>
      </c>
      <c r="E38" s="2" t="s">
        <v>23</v>
      </c>
      <c r="F38" s="2">
        <v>2</v>
      </c>
      <c r="G38" s="41" t="s">
        <v>168</v>
      </c>
      <c r="H38" s="41" t="s">
        <v>156</v>
      </c>
      <c r="I38" s="39">
        <v>45867</v>
      </c>
      <c r="J38" s="39">
        <v>46050</v>
      </c>
      <c r="K38" s="42"/>
      <c r="L38" s="2" t="s">
        <v>25</v>
      </c>
      <c r="M38" s="2">
        <v>5940</v>
      </c>
      <c r="N38" s="17" t="s">
        <v>26</v>
      </c>
    </row>
    <row r="39" spans="1:15" ht="15" customHeight="1">
      <c r="A39" s="3" t="s">
        <v>170</v>
      </c>
      <c r="B39" s="2">
        <v>100135432</v>
      </c>
      <c r="C39" s="2">
        <v>26793630</v>
      </c>
      <c r="D39" s="6" t="s">
        <v>956</v>
      </c>
      <c r="E39" s="2" t="s">
        <v>40</v>
      </c>
      <c r="F39" s="2">
        <v>2</v>
      </c>
      <c r="G39" s="41" t="s">
        <v>1096</v>
      </c>
      <c r="H39" s="41" t="s">
        <v>158</v>
      </c>
      <c r="I39" s="39">
        <v>46006</v>
      </c>
      <c r="J39" s="39">
        <v>46192</v>
      </c>
      <c r="K39" s="42"/>
      <c r="L39" s="2" t="s">
        <v>595</v>
      </c>
      <c r="M39" s="2">
        <v>7011</v>
      </c>
      <c r="N39" s="17" t="s">
        <v>596</v>
      </c>
    </row>
    <row r="40" spans="1:15" ht="15" customHeight="1">
      <c r="A40" s="3" t="s">
        <v>286</v>
      </c>
      <c r="B40" s="2">
        <v>101096605</v>
      </c>
      <c r="C40" s="2">
        <v>26380416</v>
      </c>
      <c r="D40" s="6" t="s">
        <v>632</v>
      </c>
      <c r="E40" s="2" t="s">
        <v>23</v>
      </c>
      <c r="F40" s="2">
        <v>2</v>
      </c>
      <c r="G40" s="41" t="s">
        <v>24</v>
      </c>
      <c r="H40" s="41" t="s">
        <v>158</v>
      </c>
      <c r="I40" s="39">
        <v>45994</v>
      </c>
      <c r="J40" s="39">
        <v>46083</v>
      </c>
      <c r="K40" s="42"/>
      <c r="L40" s="2"/>
      <c r="M40" s="2"/>
      <c r="N40" s="17"/>
    </row>
    <row r="41" spans="1:15" ht="15" customHeight="1">
      <c r="A41" s="3" t="s">
        <v>286</v>
      </c>
      <c r="B41" s="2">
        <v>101096605</v>
      </c>
      <c r="C41" s="2">
        <v>26380416</v>
      </c>
      <c r="D41" s="6" t="s">
        <v>679</v>
      </c>
      <c r="E41" s="2" t="s">
        <v>74</v>
      </c>
      <c r="F41" s="2">
        <v>2</v>
      </c>
      <c r="G41" s="41" t="s">
        <v>75</v>
      </c>
      <c r="H41" s="41" t="s">
        <v>158</v>
      </c>
      <c r="I41" s="39">
        <v>45994</v>
      </c>
      <c r="J41" s="39">
        <v>46083</v>
      </c>
      <c r="K41" s="42"/>
      <c r="L41" s="2"/>
      <c r="M41" s="2"/>
      <c r="N41" s="17"/>
    </row>
    <row r="42" spans="1:15" ht="15" customHeight="1">
      <c r="A42" s="3" t="s">
        <v>172</v>
      </c>
      <c r="B42" s="2">
        <v>101322217</v>
      </c>
      <c r="C42" s="2">
        <v>24724308</v>
      </c>
      <c r="D42" s="6" t="s">
        <v>130</v>
      </c>
      <c r="E42" s="2" t="s">
        <v>23</v>
      </c>
      <c r="F42" s="2">
        <v>2</v>
      </c>
      <c r="G42" s="41" t="s">
        <v>24</v>
      </c>
      <c r="H42" s="41" t="s">
        <v>129</v>
      </c>
      <c r="I42" s="39">
        <v>45918</v>
      </c>
      <c r="J42" s="39">
        <v>46081</v>
      </c>
      <c r="K42" s="42"/>
      <c r="L42" s="2" t="s">
        <v>900</v>
      </c>
      <c r="M42" s="86" t="s">
        <v>19</v>
      </c>
      <c r="N42" s="17" t="s">
        <v>901</v>
      </c>
    </row>
    <row r="43" spans="1:15" ht="15" customHeight="1">
      <c r="A43" s="3" t="s">
        <v>172</v>
      </c>
      <c r="B43" s="2">
        <v>101322217</v>
      </c>
      <c r="C43" s="2">
        <v>24724308</v>
      </c>
      <c r="D43" s="6" t="s">
        <v>130</v>
      </c>
      <c r="E43" s="2" t="s">
        <v>43</v>
      </c>
      <c r="F43" s="2">
        <v>2</v>
      </c>
      <c r="G43" s="41" t="s">
        <v>16</v>
      </c>
      <c r="H43" s="41" t="s">
        <v>199</v>
      </c>
      <c r="I43" s="39">
        <v>45918</v>
      </c>
      <c r="J43" s="39">
        <v>46081</v>
      </c>
      <c r="K43" s="42"/>
      <c r="L43" s="2" t="s">
        <v>900</v>
      </c>
      <c r="M43" s="86" t="s">
        <v>19</v>
      </c>
      <c r="N43" s="17" t="s">
        <v>901</v>
      </c>
    </row>
    <row r="44" spans="1:15" ht="15" customHeight="1">
      <c r="A44" s="3" t="s">
        <v>172</v>
      </c>
      <c r="B44" s="2">
        <v>101322217</v>
      </c>
      <c r="C44" s="2">
        <v>24724308</v>
      </c>
      <c r="D44" s="6" t="s">
        <v>173</v>
      </c>
      <c r="E44" s="2" t="s">
        <v>74</v>
      </c>
      <c r="F44" s="2">
        <v>2</v>
      </c>
      <c r="G44" s="41" t="s">
        <v>75</v>
      </c>
      <c r="H44" s="41" t="s">
        <v>147</v>
      </c>
      <c r="I44" s="39">
        <v>45918</v>
      </c>
      <c r="J44" s="39">
        <v>46081</v>
      </c>
      <c r="K44" s="42"/>
      <c r="L44" s="2" t="s">
        <v>900</v>
      </c>
      <c r="M44" s="86" t="s">
        <v>19</v>
      </c>
      <c r="N44" s="17" t="s">
        <v>901</v>
      </c>
    </row>
    <row r="45" spans="1:15" ht="15" customHeight="1">
      <c r="A45" s="3" t="s">
        <v>694</v>
      </c>
      <c r="B45" s="2">
        <v>100490483</v>
      </c>
      <c r="C45" s="2">
        <v>26063689</v>
      </c>
      <c r="D45" s="6" t="s">
        <v>128</v>
      </c>
      <c r="E45" s="2" t="s">
        <v>40</v>
      </c>
      <c r="F45" s="2">
        <v>2</v>
      </c>
      <c r="G45" s="41" t="s">
        <v>71</v>
      </c>
      <c r="H45" s="41" t="s">
        <v>199</v>
      </c>
      <c r="I45" s="39">
        <v>45978</v>
      </c>
      <c r="J45" s="39">
        <v>46081</v>
      </c>
      <c r="K45" s="42"/>
      <c r="L45" s="2" t="s">
        <v>900</v>
      </c>
      <c r="M45" s="86" t="s">
        <v>19</v>
      </c>
      <c r="N45" s="17" t="s">
        <v>901</v>
      </c>
    </row>
    <row r="46" spans="1:15" ht="15" customHeight="1">
      <c r="A46" s="3" t="s">
        <v>175</v>
      </c>
      <c r="B46" s="2">
        <v>101311468</v>
      </c>
      <c r="C46" s="2">
        <v>24787557</v>
      </c>
      <c r="D46" s="6" t="s">
        <v>130</v>
      </c>
      <c r="E46" s="2" t="s">
        <v>43</v>
      </c>
      <c r="F46" s="2">
        <v>2</v>
      </c>
      <c r="G46" s="41" t="s">
        <v>16</v>
      </c>
      <c r="H46" s="2" t="s">
        <v>227</v>
      </c>
      <c r="I46" s="39">
        <v>45931</v>
      </c>
      <c r="J46" s="39">
        <v>46081</v>
      </c>
      <c r="K46" s="42"/>
      <c r="L46" s="2" t="s">
        <v>900</v>
      </c>
      <c r="M46" s="86" t="s">
        <v>19</v>
      </c>
      <c r="N46" s="17" t="s">
        <v>901</v>
      </c>
    </row>
    <row r="47" spans="1:15" ht="15" customHeight="1">
      <c r="A47" s="3" t="s">
        <v>175</v>
      </c>
      <c r="B47" s="2">
        <v>101311468</v>
      </c>
      <c r="C47" s="2">
        <v>24787557</v>
      </c>
      <c r="D47" s="6" t="s">
        <v>130</v>
      </c>
      <c r="E47" s="2" t="s">
        <v>74</v>
      </c>
      <c r="F47" s="2">
        <v>2</v>
      </c>
      <c r="G47" s="41" t="s">
        <v>682</v>
      </c>
      <c r="H47" s="2" t="s">
        <v>158</v>
      </c>
      <c r="I47" s="39">
        <v>45931</v>
      </c>
      <c r="J47" s="39">
        <v>46081</v>
      </c>
      <c r="K47" s="42"/>
      <c r="L47" s="2" t="s">
        <v>900</v>
      </c>
      <c r="M47" s="86" t="s">
        <v>19</v>
      </c>
      <c r="N47" s="17" t="s">
        <v>901</v>
      </c>
    </row>
    <row r="48" spans="1:15" ht="14.4" customHeight="1">
      <c r="A48" s="3" t="s">
        <v>175</v>
      </c>
      <c r="B48" s="2">
        <v>101311468</v>
      </c>
      <c r="C48" s="2">
        <v>24787557</v>
      </c>
      <c r="D48" s="6" t="s">
        <v>173</v>
      </c>
      <c r="E48" s="2" t="s">
        <v>74</v>
      </c>
      <c r="F48" s="2">
        <v>2</v>
      </c>
      <c r="G48" s="41" t="s">
        <v>75</v>
      </c>
      <c r="H48" s="2" t="s">
        <v>158</v>
      </c>
      <c r="I48" s="39">
        <v>45931</v>
      </c>
      <c r="J48" s="39">
        <v>46081</v>
      </c>
      <c r="K48" s="42"/>
      <c r="L48" s="2" t="s">
        <v>900</v>
      </c>
      <c r="M48" s="86" t="s">
        <v>19</v>
      </c>
      <c r="N48" s="17" t="s">
        <v>901</v>
      </c>
    </row>
    <row r="49" spans="1:14" ht="15" customHeight="1">
      <c r="A49" s="111" t="s">
        <v>176</v>
      </c>
      <c r="B49" s="112">
        <v>101130294</v>
      </c>
      <c r="C49" s="112">
        <v>21215629</v>
      </c>
      <c r="D49" s="113" t="s">
        <v>426</v>
      </c>
      <c r="E49" s="112" t="s">
        <v>38</v>
      </c>
      <c r="F49" s="112">
        <v>2</v>
      </c>
      <c r="G49" s="116" t="s">
        <v>16</v>
      </c>
      <c r="H49" s="112" t="s">
        <v>125</v>
      </c>
      <c r="I49" s="117">
        <v>45744</v>
      </c>
      <c r="J49" s="117">
        <v>45808</v>
      </c>
      <c r="K49" s="114" t="s">
        <v>233</v>
      </c>
      <c r="L49" s="112" t="s">
        <v>31</v>
      </c>
      <c r="M49" s="2">
        <v>3705</v>
      </c>
      <c r="N49" s="17" t="s">
        <v>32</v>
      </c>
    </row>
    <row r="50" spans="1:14" ht="15" customHeight="1">
      <c r="A50" s="111" t="s">
        <v>176</v>
      </c>
      <c r="B50" s="112">
        <v>101130294</v>
      </c>
      <c r="C50" s="112">
        <v>21215629</v>
      </c>
      <c r="D50" s="113" t="s">
        <v>426</v>
      </c>
      <c r="E50" s="112" t="s">
        <v>38</v>
      </c>
      <c r="F50" s="112">
        <v>2</v>
      </c>
      <c r="G50" s="116" t="s">
        <v>16</v>
      </c>
      <c r="H50" s="112" t="s">
        <v>502</v>
      </c>
      <c r="I50" s="117">
        <v>45744</v>
      </c>
      <c r="J50" s="117">
        <v>45808</v>
      </c>
      <c r="K50" s="114" t="s">
        <v>233</v>
      </c>
      <c r="L50" s="112" t="s">
        <v>31</v>
      </c>
      <c r="M50" s="2">
        <v>3705</v>
      </c>
      <c r="N50" s="17" t="s">
        <v>32</v>
      </c>
    </row>
    <row r="51" spans="1:14" ht="15" customHeight="1">
      <c r="A51" s="111" t="s">
        <v>176</v>
      </c>
      <c r="B51" s="112">
        <v>101130294</v>
      </c>
      <c r="C51" s="112">
        <v>21215629</v>
      </c>
      <c r="D51" s="113" t="s">
        <v>426</v>
      </c>
      <c r="E51" s="112" t="s">
        <v>67</v>
      </c>
      <c r="F51" s="112">
        <v>2</v>
      </c>
      <c r="G51" s="116" t="s">
        <v>75</v>
      </c>
      <c r="H51" s="112" t="s">
        <v>134</v>
      </c>
      <c r="I51" s="117">
        <v>45744</v>
      </c>
      <c r="J51" s="117">
        <v>45808</v>
      </c>
      <c r="K51" s="114" t="s">
        <v>233</v>
      </c>
      <c r="L51" s="112" t="s">
        <v>31</v>
      </c>
      <c r="M51" s="2">
        <v>3705</v>
      </c>
      <c r="N51" s="17" t="s">
        <v>32</v>
      </c>
    </row>
    <row r="52" spans="1:14" ht="15" customHeight="1">
      <c r="A52" s="3" t="s">
        <v>374</v>
      </c>
      <c r="B52" s="2">
        <v>100297595</v>
      </c>
      <c r="C52" s="2">
        <v>25349283</v>
      </c>
      <c r="D52" s="6" t="s">
        <v>165</v>
      </c>
      <c r="E52" s="2" t="s">
        <v>48</v>
      </c>
      <c r="F52" s="2">
        <v>2</v>
      </c>
      <c r="G52" s="41" t="s">
        <v>140</v>
      </c>
      <c r="H52" s="41" t="s">
        <v>121</v>
      </c>
      <c r="I52" s="16">
        <v>45946</v>
      </c>
      <c r="J52" s="16">
        <v>46127</v>
      </c>
      <c r="K52" s="122"/>
      <c r="L52" s="2" t="s">
        <v>680</v>
      </c>
      <c r="M52" s="2">
        <v>3763</v>
      </c>
      <c r="N52" s="17" t="s">
        <v>681</v>
      </c>
    </row>
    <row r="53" spans="1:14" ht="15" customHeight="1">
      <c r="A53" s="3" t="s">
        <v>174</v>
      </c>
      <c r="B53" s="2">
        <v>100046967</v>
      </c>
      <c r="C53" s="2">
        <v>26244625</v>
      </c>
      <c r="D53" s="6" t="s">
        <v>167</v>
      </c>
      <c r="E53" s="2" t="s">
        <v>43</v>
      </c>
      <c r="F53" s="2">
        <v>2</v>
      </c>
      <c r="G53" s="41" t="s">
        <v>16</v>
      </c>
      <c r="H53" s="2" t="s">
        <v>125</v>
      </c>
      <c r="I53" s="39">
        <v>45986</v>
      </c>
      <c r="J53" s="39">
        <v>46169</v>
      </c>
      <c r="K53" s="42"/>
      <c r="L53" s="2" t="s">
        <v>65</v>
      </c>
      <c r="M53" s="2">
        <v>7017</v>
      </c>
      <c r="N53" s="17" t="s">
        <v>66</v>
      </c>
    </row>
    <row r="54" spans="1:14">
      <c r="A54" s="3" t="s">
        <v>180</v>
      </c>
      <c r="B54" s="2">
        <v>100912156</v>
      </c>
      <c r="C54" s="2">
        <v>23576133</v>
      </c>
      <c r="D54" s="6" t="s">
        <v>126</v>
      </c>
      <c r="E54" s="2" t="s">
        <v>43</v>
      </c>
      <c r="F54" s="2">
        <v>2</v>
      </c>
      <c r="G54" s="41" t="s">
        <v>16</v>
      </c>
      <c r="H54" s="41" t="s">
        <v>181</v>
      </c>
      <c r="I54" s="39">
        <v>45867</v>
      </c>
      <c r="J54" s="16">
        <v>46050</v>
      </c>
      <c r="K54" s="42"/>
      <c r="L54" s="2" t="s">
        <v>595</v>
      </c>
      <c r="M54" s="2">
        <v>7011</v>
      </c>
      <c r="N54" s="17" t="s">
        <v>596</v>
      </c>
    </row>
    <row r="55" spans="1:14" ht="14" customHeight="1">
      <c r="A55" s="3" t="s">
        <v>180</v>
      </c>
      <c r="B55" s="2">
        <v>100912156</v>
      </c>
      <c r="C55" s="2">
        <v>23576133</v>
      </c>
      <c r="D55" s="6" t="s">
        <v>133</v>
      </c>
      <c r="E55" s="2" t="s">
        <v>43</v>
      </c>
      <c r="F55" s="2">
        <v>2</v>
      </c>
      <c r="G55" s="41" t="s">
        <v>16</v>
      </c>
      <c r="H55" s="41" t="s">
        <v>182</v>
      </c>
      <c r="I55" s="39">
        <v>45867</v>
      </c>
      <c r="J55" s="16">
        <v>46050</v>
      </c>
      <c r="K55" s="42"/>
      <c r="L55" s="2" t="s">
        <v>595</v>
      </c>
      <c r="M55" s="2">
        <v>7011</v>
      </c>
      <c r="N55" s="17" t="s">
        <v>596</v>
      </c>
    </row>
    <row r="56" spans="1:14" ht="14" customHeight="1">
      <c r="A56" s="3" t="s">
        <v>62</v>
      </c>
      <c r="B56" s="2">
        <v>101357732</v>
      </c>
      <c r="C56" s="2">
        <v>24891850</v>
      </c>
      <c r="D56" s="6" t="s">
        <v>881</v>
      </c>
      <c r="E56" s="2" t="s">
        <v>23</v>
      </c>
      <c r="F56" s="2">
        <v>2</v>
      </c>
      <c r="G56" s="41" t="s">
        <v>24</v>
      </c>
      <c r="H56" s="59" t="s">
        <v>696</v>
      </c>
      <c r="I56" s="39">
        <v>45925</v>
      </c>
      <c r="J56" s="16">
        <v>46112</v>
      </c>
      <c r="K56" s="42"/>
      <c r="L56" s="2" t="s">
        <v>25</v>
      </c>
      <c r="M56" s="2">
        <v>5940</v>
      </c>
      <c r="N56" s="17" t="s">
        <v>26</v>
      </c>
    </row>
    <row r="57" spans="1:14" ht="14" customHeight="1">
      <c r="A57" s="3" t="s">
        <v>62</v>
      </c>
      <c r="B57" s="2">
        <v>101357732</v>
      </c>
      <c r="C57" s="2">
        <v>24891850</v>
      </c>
      <c r="D57" s="6" t="s">
        <v>615</v>
      </c>
      <c r="E57" s="2" t="s">
        <v>74</v>
      </c>
      <c r="F57" s="2">
        <v>2</v>
      </c>
      <c r="G57" s="41" t="s">
        <v>75</v>
      </c>
      <c r="H57" s="59" t="s">
        <v>696</v>
      </c>
      <c r="I57" s="39">
        <v>45925</v>
      </c>
      <c r="J57" s="16">
        <v>46112</v>
      </c>
      <c r="K57" s="42"/>
      <c r="L57" s="2" t="s">
        <v>25</v>
      </c>
      <c r="M57" s="2">
        <v>5940</v>
      </c>
      <c r="N57" s="17" t="s">
        <v>26</v>
      </c>
    </row>
    <row r="58" spans="1:14">
      <c r="A58" s="3" t="s">
        <v>188</v>
      </c>
      <c r="B58" s="2">
        <v>101319799</v>
      </c>
      <c r="C58" s="2">
        <v>25922441</v>
      </c>
      <c r="D58" s="6" t="s">
        <v>189</v>
      </c>
      <c r="E58" s="2" t="s">
        <v>160</v>
      </c>
      <c r="F58" s="2">
        <v>2</v>
      </c>
      <c r="G58" s="41" t="s">
        <v>811</v>
      </c>
      <c r="H58" s="41" t="s">
        <v>121</v>
      </c>
      <c r="I58" s="39">
        <v>45972</v>
      </c>
      <c r="J58" s="16">
        <v>46153</v>
      </c>
      <c r="K58" s="42" t="s">
        <v>1043</v>
      </c>
      <c r="L58" s="2" t="s">
        <v>680</v>
      </c>
      <c r="M58" s="2">
        <v>3763</v>
      </c>
      <c r="N58" s="17" t="s">
        <v>681</v>
      </c>
    </row>
    <row r="59" spans="1:14">
      <c r="A59" s="3" t="s">
        <v>188</v>
      </c>
      <c r="B59" s="2">
        <v>101319799</v>
      </c>
      <c r="C59" s="2">
        <v>25922441</v>
      </c>
      <c r="D59" s="6" t="s">
        <v>594</v>
      </c>
      <c r="E59" s="2" t="s">
        <v>52</v>
      </c>
      <c r="F59" s="2">
        <v>2</v>
      </c>
      <c r="G59" s="41" t="s">
        <v>810</v>
      </c>
      <c r="H59" s="41" t="s">
        <v>121</v>
      </c>
      <c r="I59" s="39">
        <v>45972</v>
      </c>
      <c r="J59" s="16">
        <v>46153</v>
      </c>
      <c r="K59" s="42" t="s">
        <v>1043</v>
      </c>
      <c r="L59" s="2" t="s">
        <v>680</v>
      </c>
      <c r="M59" s="2">
        <v>3763</v>
      </c>
      <c r="N59" s="17" t="s">
        <v>681</v>
      </c>
    </row>
    <row r="60" spans="1:14">
      <c r="A60" s="3" t="s">
        <v>185</v>
      </c>
      <c r="B60" s="2">
        <v>100398295</v>
      </c>
      <c r="C60" s="2">
        <v>25574884</v>
      </c>
      <c r="D60" s="6" t="s">
        <v>159</v>
      </c>
      <c r="E60" s="2" t="s">
        <v>74</v>
      </c>
      <c r="F60" s="2">
        <v>2</v>
      </c>
      <c r="G60" s="41" t="s">
        <v>186</v>
      </c>
      <c r="H60" s="41" t="s">
        <v>187</v>
      </c>
      <c r="I60" s="39">
        <v>45957</v>
      </c>
      <c r="J60" s="16">
        <v>46023</v>
      </c>
      <c r="K60" s="42"/>
      <c r="L60" s="2" t="s">
        <v>31</v>
      </c>
      <c r="M60" s="2">
        <v>3705</v>
      </c>
      <c r="N60" s="17" t="s">
        <v>32</v>
      </c>
    </row>
    <row r="61" spans="1:14">
      <c r="A61" s="3" t="s">
        <v>191</v>
      </c>
      <c r="B61" s="2">
        <v>101109951</v>
      </c>
      <c r="C61" s="2">
        <v>25603930</v>
      </c>
      <c r="D61" s="6" t="s">
        <v>171</v>
      </c>
      <c r="E61" s="2" t="s">
        <v>43</v>
      </c>
      <c r="F61" s="2">
        <v>2</v>
      </c>
      <c r="G61" s="41" t="s">
        <v>24</v>
      </c>
      <c r="H61" s="2" t="s">
        <v>162</v>
      </c>
      <c r="I61" s="39">
        <v>45954</v>
      </c>
      <c r="J61" s="39">
        <v>46136</v>
      </c>
      <c r="K61" s="42"/>
      <c r="L61" s="2" t="s">
        <v>65</v>
      </c>
      <c r="M61" s="2">
        <v>7017</v>
      </c>
      <c r="N61" s="17" t="s">
        <v>66</v>
      </c>
    </row>
    <row r="62" spans="1:14">
      <c r="A62" s="3" t="s">
        <v>190</v>
      </c>
      <c r="B62" s="2">
        <v>100132204</v>
      </c>
      <c r="C62" s="2">
        <v>25356798</v>
      </c>
      <c r="D62" s="6" t="s">
        <v>171</v>
      </c>
      <c r="E62" s="2" t="s">
        <v>43</v>
      </c>
      <c r="F62" s="2">
        <v>2</v>
      </c>
      <c r="G62" s="41" t="s">
        <v>16</v>
      </c>
      <c r="H62" s="41" t="s">
        <v>147</v>
      </c>
      <c r="I62" s="39">
        <v>45946</v>
      </c>
      <c r="J62" s="39">
        <v>46097</v>
      </c>
      <c r="K62" s="42"/>
      <c r="L62" s="15" t="s">
        <v>65</v>
      </c>
      <c r="M62" s="2">
        <v>7017</v>
      </c>
      <c r="N62" s="31" t="s">
        <v>66</v>
      </c>
    </row>
    <row r="63" spans="1:14">
      <c r="A63" s="3" t="s">
        <v>193</v>
      </c>
      <c r="B63" s="2">
        <v>100006219</v>
      </c>
      <c r="C63" s="2">
        <v>22073693</v>
      </c>
      <c r="D63" s="6" t="s">
        <v>632</v>
      </c>
      <c r="E63" s="2" t="s">
        <v>48</v>
      </c>
      <c r="F63" s="2">
        <v>2</v>
      </c>
      <c r="G63" s="41" t="s">
        <v>120</v>
      </c>
      <c r="H63" s="41" t="s">
        <v>125</v>
      </c>
      <c r="I63" s="39">
        <v>45971</v>
      </c>
      <c r="J63" s="39">
        <v>46142</v>
      </c>
      <c r="K63" s="92" t="s">
        <v>500</v>
      </c>
      <c r="L63" s="2" t="s">
        <v>595</v>
      </c>
      <c r="M63" s="2">
        <v>7011</v>
      </c>
      <c r="N63" s="17" t="s">
        <v>596</v>
      </c>
    </row>
    <row r="64" spans="1:14">
      <c r="A64" s="3" t="s">
        <v>193</v>
      </c>
      <c r="B64" s="2">
        <v>100006219</v>
      </c>
      <c r="C64" s="2">
        <v>22073693</v>
      </c>
      <c r="D64" s="6" t="s">
        <v>165</v>
      </c>
      <c r="E64" s="2" t="s">
        <v>90</v>
      </c>
      <c r="F64" s="2">
        <v>2</v>
      </c>
      <c r="G64" s="41" t="s">
        <v>637</v>
      </c>
      <c r="H64" s="41" t="s">
        <v>125</v>
      </c>
      <c r="I64" s="39">
        <v>45971</v>
      </c>
      <c r="J64" s="39">
        <v>46142</v>
      </c>
      <c r="K64" s="92" t="s">
        <v>500</v>
      </c>
      <c r="L64" s="2" t="s">
        <v>595</v>
      </c>
      <c r="M64" s="2">
        <v>7011</v>
      </c>
      <c r="N64" s="17" t="s">
        <v>596</v>
      </c>
    </row>
    <row r="65" spans="1:15">
      <c r="A65" s="3" t="s">
        <v>193</v>
      </c>
      <c r="B65" s="2">
        <v>100006219</v>
      </c>
      <c r="C65" s="2">
        <v>22073693</v>
      </c>
      <c r="D65" s="6" t="s">
        <v>202</v>
      </c>
      <c r="E65" s="2" t="s">
        <v>74</v>
      </c>
      <c r="F65" s="2">
        <v>2</v>
      </c>
      <c r="G65" s="41" t="s">
        <v>75</v>
      </c>
      <c r="H65" s="41" t="s">
        <v>125</v>
      </c>
      <c r="I65" s="39">
        <v>45971</v>
      </c>
      <c r="J65" s="39">
        <v>46142</v>
      </c>
      <c r="K65" s="110" t="s">
        <v>501</v>
      </c>
      <c r="L65" s="2" t="s">
        <v>595</v>
      </c>
      <c r="M65" s="2">
        <v>7011</v>
      </c>
      <c r="N65" s="17" t="s">
        <v>596</v>
      </c>
    </row>
    <row r="66" spans="1:15">
      <c r="A66" s="3" t="s">
        <v>193</v>
      </c>
      <c r="B66" s="2">
        <v>100006219</v>
      </c>
      <c r="C66" s="2">
        <v>22073693</v>
      </c>
      <c r="D66" s="6" t="s">
        <v>202</v>
      </c>
      <c r="E66" s="2" t="s">
        <v>23</v>
      </c>
      <c r="F66" s="2">
        <v>2</v>
      </c>
      <c r="G66" s="41" t="s">
        <v>24</v>
      </c>
      <c r="H66" s="41" t="s">
        <v>502</v>
      </c>
      <c r="I66" s="39">
        <v>45971</v>
      </c>
      <c r="J66" s="39">
        <v>46142</v>
      </c>
      <c r="K66" s="110" t="s">
        <v>501</v>
      </c>
      <c r="L66" s="2" t="s">
        <v>595</v>
      </c>
      <c r="M66" s="2">
        <v>7011</v>
      </c>
      <c r="N66" s="17" t="s">
        <v>596</v>
      </c>
    </row>
    <row r="67" spans="1:15">
      <c r="A67" s="3" t="s">
        <v>193</v>
      </c>
      <c r="B67" s="2">
        <v>100006219</v>
      </c>
      <c r="C67" s="2">
        <v>22073693</v>
      </c>
      <c r="D67" s="6" t="s">
        <v>635</v>
      </c>
      <c r="E67" s="2" t="s">
        <v>74</v>
      </c>
      <c r="F67" s="2">
        <v>2</v>
      </c>
      <c r="G67" s="41" t="s">
        <v>75</v>
      </c>
      <c r="H67" s="41" t="s">
        <v>502</v>
      </c>
      <c r="I67" s="39">
        <v>45971</v>
      </c>
      <c r="J67" s="39">
        <v>46142</v>
      </c>
      <c r="K67" s="110" t="s">
        <v>501</v>
      </c>
      <c r="L67" s="2" t="s">
        <v>595</v>
      </c>
      <c r="M67" s="2">
        <v>7011</v>
      </c>
      <c r="N67" s="17" t="s">
        <v>596</v>
      </c>
    </row>
    <row r="68" spans="1:15">
      <c r="A68" s="3" t="s">
        <v>193</v>
      </c>
      <c r="B68" s="2">
        <v>100006219</v>
      </c>
      <c r="C68" s="2">
        <v>22073693</v>
      </c>
      <c r="D68" s="6" t="s">
        <v>635</v>
      </c>
      <c r="E68" s="2" t="s">
        <v>48</v>
      </c>
      <c r="F68" s="2">
        <v>2</v>
      </c>
      <c r="G68" s="41" t="s">
        <v>98</v>
      </c>
      <c r="H68" s="41" t="s">
        <v>502</v>
      </c>
      <c r="I68" s="39">
        <v>45971</v>
      </c>
      <c r="J68" s="39">
        <v>46142</v>
      </c>
      <c r="K68" s="110" t="s">
        <v>501</v>
      </c>
      <c r="L68" s="2" t="s">
        <v>595</v>
      </c>
      <c r="M68" s="2">
        <v>7011</v>
      </c>
      <c r="N68" s="17" t="s">
        <v>596</v>
      </c>
    </row>
    <row r="69" spans="1:15">
      <c r="A69" s="3" t="s">
        <v>193</v>
      </c>
      <c r="B69" s="2">
        <v>100006219</v>
      </c>
      <c r="C69" s="2">
        <v>22073693</v>
      </c>
      <c r="D69" s="6" t="s">
        <v>159</v>
      </c>
      <c r="E69" s="2" t="s">
        <v>40</v>
      </c>
      <c r="F69" s="2">
        <v>2</v>
      </c>
      <c r="G69" s="41" t="s">
        <v>71</v>
      </c>
      <c r="H69" s="41" t="s">
        <v>195</v>
      </c>
      <c r="I69" s="39">
        <v>45971</v>
      </c>
      <c r="J69" s="39">
        <v>46142</v>
      </c>
      <c r="K69" s="110" t="s">
        <v>501</v>
      </c>
      <c r="L69" s="2" t="s">
        <v>595</v>
      </c>
      <c r="M69" s="2">
        <v>7011</v>
      </c>
      <c r="N69" s="17" t="s">
        <v>596</v>
      </c>
    </row>
    <row r="70" spans="1:15">
      <c r="A70" s="3" t="s">
        <v>194</v>
      </c>
      <c r="B70" s="2">
        <v>100188774</v>
      </c>
      <c r="C70" s="2">
        <v>23576109</v>
      </c>
      <c r="D70" s="6" t="s">
        <v>165</v>
      </c>
      <c r="E70" s="2" t="s">
        <v>48</v>
      </c>
      <c r="F70" s="2">
        <v>2</v>
      </c>
      <c r="G70" s="41" t="s">
        <v>92</v>
      </c>
      <c r="H70" s="41" t="s">
        <v>195</v>
      </c>
      <c r="I70" s="39">
        <v>45867</v>
      </c>
      <c r="J70" s="39">
        <v>46050</v>
      </c>
      <c r="K70" s="214"/>
      <c r="L70" s="2" t="s">
        <v>595</v>
      </c>
      <c r="M70" s="2">
        <v>7011</v>
      </c>
      <c r="N70" s="17" t="s">
        <v>596</v>
      </c>
    </row>
    <row r="71" spans="1:15" s="237" customFormat="1">
      <c r="A71" s="142" t="s">
        <v>73</v>
      </c>
      <c r="B71" s="143">
        <v>101282546</v>
      </c>
      <c r="C71" s="143">
        <v>22332132</v>
      </c>
      <c r="D71" s="258" t="s">
        <v>594</v>
      </c>
      <c r="E71" s="143" t="s">
        <v>74</v>
      </c>
      <c r="F71" s="143">
        <v>2</v>
      </c>
      <c r="G71" s="304" t="s">
        <v>638</v>
      </c>
      <c r="H71" s="304" t="s">
        <v>121</v>
      </c>
      <c r="I71" s="296">
        <v>46013</v>
      </c>
      <c r="J71" s="296">
        <v>46191</v>
      </c>
      <c r="K71" s="297"/>
      <c r="L71" s="143" t="s">
        <v>595</v>
      </c>
      <c r="M71" s="143">
        <v>7011</v>
      </c>
      <c r="N71" s="236" t="s">
        <v>596</v>
      </c>
    </row>
    <row r="72" spans="1:15" s="237" customFormat="1">
      <c r="A72" s="3" t="s">
        <v>78</v>
      </c>
      <c r="B72" s="2">
        <v>101327304</v>
      </c>
      <c r="C72" s="2">
        <v>25993284</v>
      </c>
      <c r="D72" s="6" t="s">
        <v>159</v>
      </c>
      <c r="E72" s="2" t="s">
        <v>40</v>
      </c>
      <c r="F72" s="2">
        <v>2</v>
      </c>
      <c r="G72" s="41" t="s">
        <v>71</v>
      </c>
      <c r="H72" s="41" t="s">
        <v>121</v>
      </c>
      <c r="I72" s="39">
        <v>45974</v>
      </c>
      <c r="J72" s="39">
        <v>46080</v>
      </c>
      <c r="K72" s="214"/>
      <c r="L72" s="2" t="s">
        <v>680</v>
      </c>
      <c r="M72" s="2">
        <v>3763</v>
      </c>
      <c r="N72" s="17" t="s">
        <v>681</v>
      </c>
      <c r="O72"/>
    </row>
    <row r="73" spans="1:15" ht="14.25" customHeight="1">
      <c r="A73" s="3" t="s">
        <v>78</v>
      </c>
      <c r="B73" s="2">
        <v>101327304</v>
      </c>
      <c r="C73" s="2">
        <v>25993284</v>
      </c>
      <c r="D73" s="6" t="s">
        <v>632</v>
      </c>
      <c r="E73" s="2" t="s">
        <v>48</v>
      </c>
      <c r="F73" s="2">
        <v>2</v>
      </c>
      <c r="G73" s="41" t="s">
        <v>140</v>
      </c>
      <c r="H73" s="41" t="s">
        <v>147</v>
      </c>
      <c r="I73" s="39">
        <v>45974</v>
      </c>
      <c r="J73" s="39">
        <v>46080</v>
      </c>
      <c r="K73" s="42"/>
      <c r="L73" s="2" t="s">
        <v>680</v>
      </c>
      <c r="M73" s="2">
        <v>3763</v>
      </c>
      <c r="N73" s="17" t="s">
        <v>681</v>
      </c>
    </row>
    <row r="74" spans="1:15">
      <c r="A74" s="51" t="s">
        <v>78</v>
      </c>
      <c r="B74" s="47">
        <v>101327304</v>
      </c>
      <c r="C74" s="2">
        <v>25993284</v>
      </c>
      <c r="D74" s="6" t="s">
        <v>635</v>
      </c>
      <c r="E74" s="47" t="s">
        <v>48</v>
      </c>
      <c r="F74" s="2">
        <v>2</v>
      </c>
      <c r="G74" s="62" t="s">
        <v>741</v>
      </c>
      <c r="H74" s="41" t="s">
        <v>121</v>
      </c>
      <c r="I74" s="39">
        <v>45974</v>
      </c>
      <c r="J74" s="39">
        <v>46080</v>
      </c>
      <c r="K74" s="42"/>
      <c r="L74" s="2" t="s">
        <v>680</v>
      </c>
      <c r="M74" s="2">
        <v>3763</v>
      </c>
      <c r="N74" s="17" t="s">
        <v>681</v>
      </c>
    </row>
    <row r="75" spans="1:15">
      <c r="A75" s="271" t="s">
        <v>1100</v>
      </c>
      <c r="B75" s="256">
        <v>100167041</v>
      </c>
      <c r="C75" s="143">
        <v>26900201</v>
      </c>
      <c r="D75" s="258"/>
      <c r="E75" s="256" t="s">
        <v>48</v>
      </c>
      <c r="F75" s="143">
        <v>2</v>
      </c>
      <c r="G75" s="332"/>
      <c r="H75" s="304"/>
      <c r="I75" s="296">
        <v>46020</v>
      </c>
      <c r="J75" s="296">
        <v>46202</v>
      </c>
      <c r="K75" s="305"/>
      <c r="L75" s="143"/>
      <c r="M75" s="143"/>
      <c r="N75" s="236"/>
      <c r="O75" s="237"/>
    </row>
    <row r="76" spans="1:15">
      <c r="A76" s="51" t="s">
        <v>196</v>
      </c>
      <c r="B76" s="47">
        <v>100084289</v>
      </c>
      <c r="C76" s="47">
        <v>24559824</v>
      </c>
      <c r="D76" s="6" t="s">
        <v>679</v>
      </c>
      <c r="E76" s="47" t="s">
        <v>48</v>
      </c>
      <c r="F76" s="2">
        <v>2</v>
      </c>
      <c r="G76" s="62" t="s">
        <v>506</v>
      </c>
      <c r="H76" s="41" t="s">
        <v>121</v>
      </c>
      <c r="I76" s="16">
        <v>45910</v>
      </c>
      <c r="J76" s="16">
        <v>46091</v>
      </c>
      <c r="K76" s="42"/>
      <c r="L76" s="2" t="s">
        <v>65</v>
      </c>
      <c r="M76" s="2">
        <v>7017</v>
      </c>
      <c r="N76" s="17" t="s">
        <v>66</v>
      </c>
    </row>
    <row r="77" spans="1:15">
      <c r="A77" s="51" t="s">
        <v>196</v>
      </c>
      <c r="B77" s="47">
        <v>100084289</v>
      </c>
      <c r="C77" s="47">
        <v>24559824</v>
      </c>
      <c r="D77" s="6" t="s">
        <v>165</v>
      </c>
      <c r="E77" s="47" t="s">
        <v>40</v>
      </c>
      <c r="F77" s="2">
        <v>2</v>
      </c>
      <c r="G77" s="62" t="s">
        <v>1018</v>
      </c>
      <c r="H77" s="41" t="s">
        <v>121</v>
      </c>
      <c r="I77" s="16">
        <v>45910</v>
      </c>
      <c r="J77" s="16">
        <v>46091</v>
      </c>
      <c r="K77" s="42"/>
      <c r="L77" s="2" t="s">
        <v>65</v>
      </c>
      <c r="M77" s="2">
        <v>7017</v>
      </c>
      <c r="N77" s="17" t="s">
        <v>66</v>
      </c>
    </row>
    <row r="78" spans="1:15">
      <c r="A78" s="3" t="s">
        <v>196</v>
      </c>
      <c r="B78" s="2">
        <v>100084289</v>
      </c>
      <c r="C78" s="2">
        <v>24559824</v>
      </c>
      <c r="D78" s="6" t="s">
        <v>171</v>
      </c>
      <c r="E78" s="2" t="s">
        <v>48</v>
      </c>
      <c r="F78" s="2">
        <v>2</v>
      </c>
      <c r="G78" s="41" t="s">
        <v>120</v>
      </c>
      <c r="H78" s="41" t="s">
        <v>121</v>
      </c>
      <c r="I78" s="16">
        <v>45910</v>
      </c>
      <c r="J78" s="16">
        <v>46091</v>
      </c>
      <c r="K78" s="42"/>
      <c r="L78" s="2" t="s">
        <v>65</v>
      </c>
      <c r="M78" s="2">
        <v>7017</v>
      </c>
      <c r="N78" s="17" t="s">
        <v>66</v>
      </c>
    </row>
    <row r="79" spans="1:15" s="237" customFormat="1">
      <c r="A79" s="3" t="s">
        <v>625</v>
      </c>
      <c r="B79" s="2">
        <v>100129243</v>
      </c>
      <c r="C79" s="2">
        <v>26567168</v>
      </c>
      <c r="D79" s="6" t="s">
        <v>189</v>
      </c>
      <c r="E79" s="2" t="s">
        <v>40</v>
      </c>
      <c r="F79" s="2">
        <v>2</v>
      </c>
      <c r="G79" s="41" t="s">
        <v>71</v>
      </c>
      <c r="H79" s="41" t="s">
        <v>150</v>
      </c>
      <c r="I79" s="16">
        <v>46000</v>
      </c>
      <c r="J79" s="16">
        <v>46063</v>
      </c>
      <c r="K79" s="42"/>
      <c r="L79" s="2" t="s">
        <v>31</v>
      </c>
      <c r="M79" s="2">
        <v>3705</v>
      </c>
      <c r="N79" s="17" t="s">
        <v>32</v>
      </c>
    </row>
    <row r="80" spans="1:15">
      <c r="A80" s="3" t="s">
        <v>201</v>
      </c>
      <c r="B80" s="2">
        <v>100330660</v>
      </c>
      <c r="C80" s="2">
        <v>23364121</v>
      </c>
      <c r="D80" s="6" t="s">
        <v>632</v>
      </c>
      <c r="E80" s="2" t="s">
        <v>23</v>
      </c>
      <c r="F80" s="2">
        <v>2</v>
      </c>
      <c r="G80" s="41" t="s">
        <v>24</v>
      </c>
      <c r="H80" s="41" t="s">
        <v>631</v>
      </c>
      <c r="I80" s="16">
        <v>45853</v>
      </c>
      <c r="J80" s="16">
        <v>46036</v>
      </c>
      <c r="K80" s="155"/>
      <c r="L80" s="2" t="s">
        <v>44</v>
      </c>
      <c r="M80" s="2">
        <v>1707</v>
      </c>
      <c r="N80" s="17" t="s">
        <v>910</v>
      </c>
    </row>
    <row r="81" spans="1:14">
      <c r="A81" s="3" t="s">
        <v>201</v>
      </c>
      <c r="B81" s="2">
        <v>100330660</v>
      </c>
      <c r="C81" s="2">
        <v>23364121</v>
      </c>
      <c r="D81" s="6" t="s">
        <v>635</v>
      </c>
      <c r="E81" s="2" t="s">
        <v>74</v>
      </c>
      <c r="F81" s="2">
        <v>2</v>
      </c>
      <c r="G81" s="41" t="s">
        <v>75</v>
      </c>
      <c r="H81" s="41" t="s">
        <v>631</v>
      </c>
      <c r="I81" s="16">
        <v>45853</v>
      </c>
      <c r="J81" s="16">
        <v>46036</v>
      </c>
      <c r="K81" s="155"/>
      <c r="L81" s="2" t="s">
        <v>44</v>
      </c>
      <c r="M81" s="2">
        <v>1707</v>
      </c>
      <c r="N81" s="17" t="s">
        <v>910</v>
      </c>
    </row>
    <row r="82" spans="1:14">
      <c r="A82" s="3" t="s">
        <v>201</v>
      </c>
      <c r="B82" s="2">
        <v>100330660</v>
      </c>
      <c r="C82" s="2">
        <v>23364121</v>
      </c>
      <c r="D82" s="6" t="s">
        <v>202</v>
      </c>
      <c r="E82" s="2" t="s">
        <v>43</v>
      </c>
      <c r="F82" s="2">
        <v>2</v>
      </c>
      <c r="G82" s="41" t="s">
        <v>16</v>
      </c>
      <c r="H82" s="41" t="s">
        <v>227</v>
      </c>
      <c r="I82" s="16">
        <v>45853</v>
      </c>
      <c r="J82" s="16">
        <v>46036</v>
      </c>
      <c r="K82" s="155"/>
      <c r="L82" s="2" t="s">
        <v>44</v>
      </c>
      <c r="M82" s="2">
        <v>1707</v>
      </c>
      <c r="N82" s="17" t="s">
        <v>910</v>
      </c>
    </row>
    <row r="83" spans="1:14" s="237" customFormat="1">
      <c r="A83" s="142" t="s">
        <v>203</v>
      </c>
      <c r="B83" s="143">
        <v>100091771</v>
      </c>
      <c r="C83" s="143">
        <v>27177195</v>
      </c>
      <c r="D83" s="258" t="s">
        <v>956</v>
      </c>
      <c r="E83" s="143" t="s">
        <v>48</v>
      </c>
      <c r="F83" s="143">
        <v>2</v>
      </c>
      <c r="G83" s="304" t="s">
        <v>140</v>
      </c>
      <c r="H83" s="304" t="s">
        <v>204</v>
      </c>
      <c r="I83" s="296">
        <v>46031</v>
      </c>
      <c r="J83" s="296">
        <v>46143</v>
      </c>
      <c r="K83" s="328"/>
      <c r="L83" s="143"/>
      <c r="M83" s="143"/>
      <c r="N83" s="236"/>
    </row>
    <row r="84" spans="1:14" s="237" customFormat="1" ht="14" customHeight="1">
      <c r="A84" s="345" t="s">
        <v>833</v>
      </c>
      <c r="B84" s="143">
        <v>101400312</v>
      </c>
      <c r="C84" s="143">
        <v>23445032</v>
      </c>
      <c r="D84" s="142" t="s">
        <v>679</v>
      </c>
      <c r="E84" s="143" t="s">
        <v>48</v>
      </c>
      <c r="F84" s="143">
        <v>3</v>
      </c>
      <c r="G84" s="304" t="s">
        <v>124</v>
      </c>
      <c r="H84" s="258" t="s">
        <v>834</v>
      </c>
      <c r="I84" s="302">
        <v>46027</v>
      </c>
      <c r="J84" s="302">
        <v>46143</v>
      </c>
      <c r="K84" s="143"/>
      <c r="L84" s="143"/>
      <c r="M84" s="143"/>
      <c r="N84" s="236"/>
    </row>
    <row r="85" spans="1:14">
      <c r="A85" s="3" t="s">
        <v>617</v>
      </c>
      <c r="B85" s="2">
        <v>100186392</v>
      </c>
      <c r="C85" s="2">
        <v>26209578</v>
      </c>
      <c r="D85" s="6" t="s">
        <v>594</v>
      </c>
      <c r="E85" s="2" t="s">
        <v>40</v>
      </c>
      <c r="F85" s="2">
        <v>2</v>
      </c>
      <c r="G85" s="41" t="s">
        <v>674</v>
      </c>
      <c r="H85" s="41" t="s">
        <v>125</v>
      </c>
      <c r="I85" s="16">
        <v>45963</v>
      </c>
      <c r="J85" s="16">
        <v>46164</v>
      </c>
      <c r="K85" s="155"/>
      <c r="L85" s="2" t="s">
        <v>44</v>
      </c>
      <c r="M85" s="2">
        <v>1707</v>
      </c>
      <c r="N85" s="17" t="s">
        <v>910</v>
      </c>
    </row>
    <row r="86" spans="1:14">
      <c r="A86" s="3" t="s">
        <v>205</v>
      </c>
      <c r="B86" s="2">
        <v>100118436</v>
      </c>
      <c r="C86" s="2">
        <v>21733805</v>
      </c>
      <c r="D86" s="6" t="s">
        <v>139</v>
      </c>
      <c r="E86" s="2" t="s">
        <v>23</v>
      </c>
      <c r="F86" s="2">
        <v>2</v>
      </c>
      <c r="G86" s="41" t="s">
        <v>24</v>
      </c>
      <c r="H86" s="12" t="s">
        <v>80</v>
      </c>
      <c r="I86" s="16">
        <v>45974</v>
      </c>
      <c r="J86" s="16">
        <v>46155</v>
      </c>
      <c r="K86" s="75"/>
      <c r="L86" s="2" t="s">
        <v>31</v>
      </c>
      <c r="M86" s="2">
        <v>3705</v>
      </c>
      <c r="N86" s="17" t="s">
        <v>32</v>
      </c>
    </row>
    <row r="87" spans="1:14">
      <c r="A87" s="3" t="s">
        <v>205</v>
      </c>
      <c r="B87" s="2">
        <v>100118436</v>
      </c>
      <c r="C87" s="2">
        <v>21733805</v>
      </c>
      <c r="D87" s="6" t="s">
        <v>635</v>
      </c>
      <c r="E87" s="2" t="s">
        <v>74</v>
      </c>
      <c r="F87" s="2">
        <v>2</v>
      </c>
      <c r="G87" s="41" t="s">
        <v>75</v>
      </c>
      <c r="H87" s="12" t="s">
        <v>80</v>
      </c>
      <c r="I87" s="16">
        <v>45974</v>
      </c>
      <c r="J87" s="16">
        <v>46155</v>
      </c>
      <c r="K87" s="75"/>
      <c r="L87" s="2" t="s">
        <v>31</v>
      </c>
      <c r="M87" s="2">
        <v>3705</v>
      </c>
      <c r="N87" s="17" t="s">
        <v>32</v>
      </c>
    </row>
    <row r="88" spans="1:14" s="237" customFormat="1">
      <c r="A88" s="3" t="s">
        <v>207</v>
      </c>
      <c r="B88" s="2">
        <v>100737473</v>
      </c>
      <c r="C88" s="2">
        <v>25198948</v>
      </c>
      <c r="D88" s="6" t="s">
        <v>159</v>
      </c>
      <c r="E88" s="2" t="s">
        <v>74</v>
      </c>
      <c r="F88" s="2">
        <v>2</v>
      </c>
      <c r="G88" s="41" t="s">
        <v>705</v>
      </c>
      <c r="H88" s="2" t="s">
        <v>162</v>
      </c>
      <c r="I88" s="16">
        <v>45939</v>
      </c>
      <c r="J88" s="16">
        <v>46112</v>
      </c>
      <c r="K88" s="44"/>
      <c r="L88" s="2" t="s">
        <v>25</v>
      </c>
      <c r="M88" s="2">
        <v>5940</v>
      </c>
      <c r="N88" s="17" t="s">
        <v>26</v>
      </c>
    </row>
    <row r="89" spans="1:14" s="237" customFormat="1">
      <c r="A89" s="142" t="s">
        <v>208</v>
      </c>
      <c r="B89" s="143">
        <v>100969485</v>
      </c>
      <c r="C89" s="143">
        <v>26986816</v>
      </c>
      <c r="D89" s="258" t="s">
        <v>818</v>
      </c>
      <c r="E89" s="143" t="s">
        <v>40</v>
      </c>
      <c r="F89" s="143">
        <v>2</v>
      </c>
      <c r="G89" s="304" t="s">
        <v>649</v>
      </c>
      <c r="H89" s="143" t="s">
        <v>822</v>
      </c>
      <c r="I89" s="302">
        <v>46024</v>
      </c>
      <c r="J89" s="302">
        <v>46172</v>
      </c>
      <c r="K89" s="313"/>
      <c r="L89" s="143" t="s">
        <v>680</v>
      </c>
      <c r="M89" s="143">
        <v>3763</v>
      </c>
      <c r="N89" s="236" t="s">
        <v>611</v>
      </c>
    </row>
    <row r="90" spans="1:14">
      <c r="A90" s="3" t="s">
        <v>209</v>
      </c>
      <c r="B90" s="2">
        <v>100654357</v>
      </c>
      <c r="C90" s="2">
        <v>24613005</v>
      </c>
      <c r="D90" s="6" t="s">
        <v>202</v>
      </c>
      <c r="E90" s="2" t="s">
        <v>52</v>
      </c>
      <c r="F90" s="2">
        <v>2</v>
      </c>
      <c r="G90" s="41" t="s">
        <v>75</v>
      </c>
      <c r="H90" s="41" t="s">
        <v>968</v>
      </c>
      <c r="I90" s="39">
        <v>45910</v>
      </c>
      <c r="J90" s="39">
        <v>46091</v>
      </c>
      <c r="K90" s="44" t="s">
        <v>987</v>
      </c>
      <c r="L90" s="2" t="s">
        <v>25</v>
      </c>
      <c r="M90" s="2">
        <v>5940</v>
      </c>
      <c r="N90" s="17" t="s">
        <v>26</v>
      </c>
    </row>
    <row r="91" spans="1:14">
      <c r="A91" s="3" t="s">
        <v>935</v>
      </c>
      <c r="B91" s="2">
        <v>101317281</v>
      </c>
      <c r="C91" s="2">
        <v>26676534</v>
      </c>
      <c r="D91" s="6" t="s">
        <v>171</v>
      </c>
      <c r="E91" s="2" t="s">
        <v>40</v>
      </c>
      <c r="F91" s="2">
        <v>2</v>
      </c>
      <c r="G91" s="41" t="s">
        <v>1038</v>
      </c>
      <c r="H91" s="41" t="s">
        <v>195</v>
      </c>
      <c r="I91" s="39">
        <v>46007</v>
      </c>
      <c r="J91" s="39">
        <v>46190</v>
      </c>
      <c r="K91" s="42"/>
      <c r="L91" s="2" t="s">
        <v>595</v>
      </c>
      <c r="M91" s="2">
        <v>7011</v>
      </c>
      <c r="N91" s="17" t="s">
        <v>596</v>
      </c>
    </row>
    <row r="92" spans="1:14">
      <c r="A92" s="3" t="s">
        <v>211</v>
      </c>
      <c r="B92" s="2">
        <v>100110805</v>
      </c>
      <c r="C92" s="2">
        <v>27100959</v>
      </c>
      <c r="D92" s="6" t="s">
        <v>198</v>
      </c>
      <c r="E92" s="2" t="s">
        <v>52</v>
      </c>
      <c r="F92" s="2">
        <v>2</v>
      </c>
      <c r="G92" s="41" t="s">
        <v>214</v>
      </c>
      <c r="H92" s="41" t="s">
        <v>147</v>
      </c>
      <c r="I92" s="39">
        <v>46029</v>
      </c>
      <c r="J92" s="39">
        <v>46209</v>
      </c>
      <c r="K92" s="75"/>
      <c r="L92" s="15" t="s">
        <v>65</v>
      </c>
      <c r="M92" s="2">
        <v>7017</v>
      </c>
      <c r="N92" s="31" t="s">
        <v>66</v>
      </c>
    </row>
    <row r="93" spans="1:14">
      <c r="A93" s="3" t="s">
        <v>211</v>
      </c>
      <c r="B93" s="2">
        <v>100110805</v>
      </c>
      <c r="C93" s="2">
        <v>27100959</v>
      </c>
      <c r="D93" s="6" t="s">
        <v>615</v>
      </c>
      <c r="E93" s="2" t="s">
        <v>67</v>
      </c>
      <c r="F93" s="2">
        <v>2</v>
      </c>
      <c r="G93" s="41" t="s">
        <v>612</v>
      </c>
      <c r="H93" s="41" t="s">
        <v>147</v>
      </c>
      <c r="I93" s="39">
        <v>46029</v>
      </c>
      <c r="J93" s="39">
        <v>46209</v>
      </c>
      <c r="K93" s="75"/>
      <c r="L93" s="15" t="s">
        <v>65</v>
      </c>
      <c r="M93" s="2">
        <v>7017</v>
      </c>
      <c r="N93" s="31" t="s">
        <v>66</v>
      </c>
    </row>
    <row r="94" spans="1:14">
      <c r="A94" s="3" t="s">
        <v>678</v>
      </c>
      <c r="B94" s="2">
        <v>101195355</v>
      </c>
      <c r="C94" s="2">
        <v>27017892</v>
      </c>
      <c r="D94" s="6" t="s">
        <v>126</v>
      </c>
      <c r="E94" s="2" t="s">
        <v>52</v>
      </c>
      <c r="F94" s="2">
        <v>2</v>
      </c>
      <c r="G94" s="41" t="s">
        <v>683</v>
      </c>
      <c r="H94" s="41" t="s">
        <v>121</v>
      </c>
      <c r="I94" s="39">
        <v>46023</v>
      </c>
      <c r="J94" s="39">
        <v>46090</v>
      </c>
      <c r="K94" s="75"/>
      <c r="L94" s="15" t="s">
        <v>680</v>
      </c>
      <c r="M94" s="2">
        <v>3763</v>
      </c>
      <c r="N94" s="31" t="s">
        <v>681</v>
      </c>
    </row>
    <row r="95" spans="1:14" s="364" customFormat="1">
      <c r="A95" s="357" t="s">
        <v>280</v>
      </c>
      <c r="B95" s="359">
        <v>100521476</v>
      </c>
      <c r="C95" s="359">
        <v>27152521</v>
      </c>
      <c r="D95" s="365" t="s">
        <v>171</v>
      </c>
      <c r="E95" s="359" t="s">
        <v>48</v>
      </c>
      <c r="F95" s="359">
        <v>2</v>
      </c>
      <c r="G95" s="386" t="s">
        <v>140</v>
      </c>
      <c r="H95" s="386" t="s">
        <v>147</v>
      </c>
      <c r="I95" s="368">
        <v>46031</v>
      </c>
      <c r="J95" s="368">
        <v>46122</v>
      </c>
      <c r="K95" s="374" t="s">
        <v>1050</v>
      </c>
      <c r="L95" s="359" t="s">
        <v>65</v>
      </c>
      <c r="M95" s="359">
        <v>7017</v>
      </c>
      <c r="N95" s="17" t="s">
        <v>66</v>
      </c>
    </row>
    <row r="96" spans="1:14" s="364" customFormat="1">
      <c r="A96" s="357" t="s">
        <v>280</v>
      </c>
      <c r="B96" s="359">
        <v>100521476</v>
      </c>
      <c r="C96" s="359">
        <v>27152521</v>
      </c>
      <c r="D96" s="365" t="s">
        <v>615</v>
      </c>
      <c r="E96" s="359" t="s">
        <v>160</v>
      </c>
      <c r="F96" s="359">
        <v>2</v>
      </c>
      <c r="G96" s="386" t="s">
        <v>1112</v>
      </c>
      <c r="H96" s="386" t="s">
        <v>147</v>
      </c>
      <c r="I96" s="368">
        <v>46031</v>
      </c>
      <c r="J96" s="368">
        <v>46122</v>
      </c>
      <c r="K96" s="374" t="s">
        <v>1050</v>
      </c>
      <c r="L96" s="359" t="s">
        <v>65</v>
      </c>
      <c r="M96" s="359">
        <v>7017</v>
      </c>
      <c r="N96" s="17" t="s">
        <v>66</v>
      </c>
    </row>
    <row r="97" spans="1:14" s="364" customFormat="1">
      <c r="A97" s="357" t="s">
        <v>280</v>
      </c>
      <c r="B97" s="359">
        <v>100521476</v>
      </c>
      <c r="C97" s="359">
        <v>27152521</v>
      </c>
      <c r="D97" s="365" t="s">
        <v>956</v>
      </c>
      <c r="E97" s="359" t="s">
        <v>48</v>
      </c>
      <c r="F97" s="359">
        <v>2</v>
      </c>
      <c r="G97" s="386" t="s">
        <v>120</v>
      </c>
      <c r="H97" s="386" t="s">
        <v>147</v>
      </c>
      <c r="I97" s="368">
        <v>46031</v>
      </c>
      <c r="J97" s="368">
        <v>46122</v>
      </c>
      <c r="K97" s="374" t="s">
        <v>1050</v>
      </c>
      <c r="L97" s="359" t="s">
        <v>65</v>
      </c>
      <c r="M97" s="359">
        <v>7017</v>
      </c>
      <c r="N97" s="17" t="s">
        <v>66</v>
      </c>
    </row>
    <row r="98" spans="1:14" s="237" customFormat="1">
      <c r="A98" s="142" t="s">
        <v>215</v>
      </c>
      <c r="B98" s="143">
        <v>100111521</v>
      </c>
      <c r="C98" s="143">
        <v>25574330</v>
      </c>
      <c r="D98" s="258" t="s">
        <v>165</v>
      </c>
      <c r="E98" s="143" t="s">
        <v>48</v>
      </c>
      <c r="F98" s="143">
        <v>2</v>
      </c>
      <c r="G98" s="304" t="s">
        <v>140</v>
      </c>
      <c r="H98" s="304" t="s">
        <v>183</v>
      </c>
      <c r="I98" s="296">
        <v>45957</v>
      </c>
      <c r="J98" s="296">
        <v>46023</v>
      </c>
      <c r="K98" s="305"/>
      <c r="L98" s="257" t="s">
        <v>44</v>
      </c>
      <c r="M98" s="143">
        <v>1707</v>
      </c>
      <c r="N98" s="236" t="s">
        <v>910</v>
      </c>
    </row>
    <row r="99" spans="1:14">
      <c r="A99" s="3" t="s">
        <v>216</v>
      </c>
      <c r="B99" s="2">
        <v>101220960</v>
      </c>
      <c r="C99" s="2">
        <v>26246422</v>
      </c>
      <c r="D99" s="6" t="s">
        <v>198</v>
      </c>
      <c r="E99" s="2" t="s">
        <v>217</v>
      </c>
      <c r="F99" s="2">
        <v>2</v>
      </c>
      <c r="G99" s="41" t="s">
        <v>16</v>
      </c>
      <c r="H99" s="41" t="s">
        <v>218</v>
      </c>
      <c r="I99" s="39">
        <v>45987</v>
      </c>
      <c r="J99" s="39">
        <v>46062</v>
      </c>
      <c r="K99" s="42"/>
      <c r="L99" s="15" t="s">
        <v>595</v>
      </c>
      <c r="M99" s="15">
        <v>7011</v>
      </c>
      <c r="N99" s="31" t="s">
        <v>596</v>
      </c>
    </row>
    <row r="100" spans="1:14">
      <c r="A100" s="3" t="s">
        <v>219</v>
      </c>
      <c r="B100" s="2">
        <v>100061176</v>
      </c>
      <c r="C100" s="2">
        <v>25992369</v>
      </c>
      <c r="D100" s="6" t="s">
        <v>189</v>
      </c>
      <c r="E100" s="2" t="s">
        <v>40</v>
      </c>
      <c r="F100" s="2">
        <v>2</v>
      </c>
      <c r="G100" s="41" t="s">
        <v>919</v>
      </c>
      <c r="H100" s="41" t="s">
        <v>121</v>
      </c>
      <c r="I100" s="39">
        <v>45974</v>
      </c>
      <c r="J100" s="39">
        <v>46080</v>
      </c>
      <c r="K100" s="40"/>
      <c r="L100" s="2" t="s">
        <v>680</v>
      </c>
      <c r="M100" s="2">
        <v>3763</v>
      </c>
      <c r="N100" s="17" t="s">
        <v>681</v>
      </c>
    </row>
    <row r="101" spans="1:14" s="237" customFormat="1" ht="14" customHeight="1">
      <c r="A101" s="142" t="s">
        <v>613</v>
      </c>
      <c r="B101" s="143">
        <v>101379586</v>
      </c>
      <c r="C101" s="143">
        <v>26970220</v>
      </c>
      <c r="D101" s="258" t="s">
        <v>881</v>
      </c>
      <c r="E101" s="143" t="s">
        <v>23</v>
      </c>
      <c r="F101" s="143">
        <v>2</v>
      </c>
      <c r="G101" s="304" t="s">
        <v>24</v>
      </c>
      <c r="H101" s="304" t="s">
        <v>125</v>
      </c>
      <c r="I101" s="296">
        <v>46024</v>
      </c>
      <c r="J101" s="296">
        <v>46127</v>
      </c>
      <c r="K101" s="344"/>
      <c r="L101" s="143" t="s">
        <v>65</v>
      </c>
      <c r="M101" s="143">
        <v>7017</v>
      </c>
      <c r="N101" s="236" t="s">
        <v>66</v>
      </c>
    </row>
    <row r="102" spans="1:14" s="237" customFormat="1">
      <c r="A102" s="142" t="s">
        <v>613</v>
      </c>
      <c r="B102" s="143">
        <v>101379586</v>
      </c>
      <c r="C102" s="143">
        <v>26970220</v>
      </c>
      <c r="D102" s="258" t="s">
        <v>966</v>
      </c>
      <c r="E102" s="143" t="s">
        <v>74</v>
      </c>
      <c r="F102" s="143">
        <v>2</v>
      </c>
      <c r="G102" s="304" t="s">
        <v>184</v>
      </c>
      <c r="H102" s="304" t="s">
        <v>125</v>
      </c>
      <c r="I102" s="346">
        <v>46024</v>
      </c>
      <c r="J102" s="346">
        <v>46127</v>
      </c>
      <c r="K102" s="344"/>
      <c r="L102" s="143" t="s">
        <v>65</v>
      </c>
      <c r="M102" s="143">
        <v>7017</v>
      </c>
      <c r="N102" s="236" t="s">
        <v>66</v>
      </c>
    </row>
    <row r="103" spans="1:14" ht="14" customHeight="1">
      <c r="A103" s="3" t="s">
        <v>213</v>
      </c>
      <c r="B103" s="2">
        <v>101144594</v>
      </c>
      <c r="C103" s="2">
        <v>25359525</v>
      </c>
      <c r="D103" s="6" t="s">
        <v>189</v>
      </c>
      <c r="E103" s="2" t="s">
        <v>74</v>
      </c>
      <c r="F103" s="2">
        <v>2</v>
      </c>
      <c r="G103" s="41" t="s">
        <v>812</v>
      </c>
      <c r="H103" s="41" t="s">
        <v>125</v>
      </c>
      <c r="I103" s="39">
        <v>45946</v>
      </c>
      <c r="J103" s="39">
        <v>46097</v>
      </c>
      <c r="K103" s="75"/>
      <c r="L103" s="2" t="s">
        <v>595</v>
      </c>
      <c r="M103" s="2">
        <v>7011</v>
      </c>
      <c r="N103" s="17" t="s">
        <v>596</v>
      </c>
    </row>
    <row r="104" spans="1:14">
      <c r="A104" s="3" t="s">
        <v>220</v>
      </c>
      <c r="B104" s="2">
        <v>100362754</v>
      </c>
      <c r="C104" s="2">
        <v>22290437</v>
      </c>
      <c r="D104" s="6" t="s">
        <v>123</v>
      </c>
      <c r="E104" s="2" t="s">
        <v>23</v>
      </c>
      <c r="F104" s="2">
        <v>2</v>
      </c>
      <c r="G104" s="41" t="s">
        <v>24</v>
      </c>
      <c r="H104" s="41" t="s">
        <v>162</v>
      </c>
      <c r="I104" s="39">
        <v>45804</v>
      </c>
      <c r="J104" s="39">
        <v>45987</v>
      </c>
      <c r="K104" s="42"/>
      <c r="L104" s="2" t="s">
        <v>595</v>
      </c>
      <c r="M104" s="2">
        <v>7011</v>
      </c>
      <c r="N104" s="17" t="s">
        <v>596</v>
      </c>
    </row>
    <row r="105" spans="1:14">
      <c r="A105" s="3" t="s">
        <v>974</v>
      </c>
      <c r="B105" s="2">
        <v>100036839</v>
      </c>
      <c r="C105" s="2">
        <v>24686770</v>
      </c>
      <c r="D105" s="6" t="s">
        <v>123</v>
      </c>
      <c r="E105" s="2" t="s">
        <v>48</v>
      </c>
      <c r="F105" s="2">
        <v>2</v>
      </c>
      <c r="G105" s="41" t="s">
        <v>140</v>
      </c>
      <c r="H105" s="41" t="s">
        <v>121</v>
      </c>
      <c r="I105" s="39">
        <v>45916</v>
      </c>
      <c r="J105" s="39">
        <v>46097</v>
      </c>
      <c r="K105" s="40"/>
      <c r="L105" s="2"/>
      <c r="M105" s="2"/>
      <c r="N105" s="17"/>
    </row>
    <row r="106" spans="1:14">
      <c r="A106" s="3" t="s">
        <v>222</v>
      </c>
      <c r="B106" s="2">
        <v>100952086</v>
      </c>
      <c r="C106" s="2">
        <v>25960597</v>
      </c>
      <c r="D106" s="6" t="s">
        <v>159</v>
      </c>
      <c r="E106" s="2" t="s">
        <v>74</v>
      </c>
      <c r="F106" s="2">
        <v>2</v>
      </c>
      <c r="G106" s="41" t="s">
        <v>223</v>
      </c>
      <c r="H106" s="41" t="s">
        <v>121</v>
      </c>
      <c r="I106" s="39">
        <v>45973</v>
      </c>
      <c r="J106" s="39">
        <v>46171</v>
      </c>
      <c r="K106" s="40"/>
      <c r="L106" s="2" t="s">
        <v>65</v>
      </c>
      <c r="M106" s="2">
        <v>7017</v>
      </c>
      <c r="N106" s="17" t="s">
        <v>66</v>
      </c>
    </row>
    <row r="107" spans="1:14" s="364" customFormat="1">
      <c r="A107" s="357" t="s">
        <v>656</v>
      </c>
      <c r="B107" s="359">
        <v>100889802</v>
      </c>
      <c r="C107" s="359">
        <v>27020106</v>
      </c>
      <c r="D107" s="365" t="s">
        <v>679</v>
      </c>
      <c r="E107" s="359" t="s">
        <v>74</v>
      </c>
      <c r="F107" s="359">
        <v>2</v>
      </c>
      <c r="G107" s="386" t="s">
        <v>186</v>
      </c>
      <c r="H107" s="386" t="s">
        <v>125</v>
      </c>
      <c r="I107" s="368">
        <v>46027</v>
      </c>
      <c r="J107" s="368">
        <v>46118</v>
      </c>
      <c r="K107" s="377"/>
      <c r="L107" s="359" t="s">
        <v>680</v>
      </c>
      <c r="M107" s="359">
        <v>3763</v>
      </c>
      <c r="N107" s="17" t="s">
        <v>681</v>
      </c>
    </row>
    <row r="108" spans="1:14" s="237" customFormat="1">
      <c r="A108" s="142" t="s">
        <v>293</v>
      </c>
      <c r="B108" s="143">
        <v>100618890</v>
      </c>
      <c r="C108" s="143">
        <v>27169996</v>
      </c>
      <c r="D108" s="258" t="s">
        <v>470</v>
      </c>
      <c r="E108" s="143" t="s">
        <v>160</v>
      </c>
      <c r="F108" s="143">
        <v>2</v>
      </c>
      <c r="G108" s="304" t="s">
        <v>24</v>
      </c>
      <c r="H108" s="304" t="s">
        <v>125</v>
      </c>
      <c r="I108" s="296">
        <v>46031</v>
      </c>
      <c r="J108" s="296">
        <v>46211</v>
      </c>
      <c r="K108" s="328"/>
      <c r="L108" s="143" t="s">
        <v>25</v>
      </c>
      <c r="M108" s="143">
        <v>5940</v>
      </c>
      <c r="N108" s="236" t="s">
        <v>26</v>
      </c>
    </row>
    <row r="109" spans="1:14" s="237" customFormat="1">
      <c r="A109" s="142" t="s">
        <v>293</v>
      </c>
      <c r="B109" s="143">
        <v>100618890</v>
      </c>
      <c r="C109" s="143">
        <v>27169996</v>
      </c>
      <c r="D109" s="258" t="s">
        <v>881</v>
      </c>
      <c r="E109" s="143" t="s">
        <v>503</v>
      </c>
      <c r="F109" s="143">
        <v>2</v>
      </c>
      <c r="G109" s="304" t="s">
        <v>1123</v>
      </c>
      <c r="H109" s="304" t="s">
        <v>150</v>
      </c>
      <c r="I109" s="296">
        <v>46031</v>
      </c>
      <c r="J109" s="296">
        <v>46211</v>
      </c>
      <c r="K109" s="328"/>
      <c r="L109" s="143" t="s">
        <v>25</v>
      </c>
      <c r="M109" s="143">
        <v>5940</v>
      </c>
      <c r="N109" s="236" t="s">
        <v>26</v>
      </c>
    </row>
    <row r="110" spans="1:14" s="237" customFormat="1">
      <c r="A110" s="142" t="s">
        <v>293</v>
      </c>
      <c r="B110" s="143">
        <v>100618890</v>
      </c>
      <c r="C110" s="143">
        <v>27169996</v>
      </c>
      <c r="D110" s="258" t="s">
        <v>818</v>
      </c>
      <c r="E110" s="143" t="s">
        <v>52</v>
      </c>
      <c r="F110" s="143">
        <v>2</v>
      </c>
      <c r="G110" s="304" t="s">
        <v>975</v>
      </c>
      <c r="H110" s="304" t="s">
        <v>125</v>
      </c>
      <c r="I110" s="296">
        <v>46031</v>
      </c>
      <c r="J110" s="296">
        <v>46211</v>
      </c>
      <c r="K110" s="328"/>
      <c r="L110" s="143" t="s">
        <v>25</v>
      </c>
      <c r="M110" s="143">
        <v>5940</v>
      </c>
      <c r="N110" s="236" t="s">
        <v>26</v>
      </c>
    </row>
    <row r="111" spans="1:14" s="237" customFormat="1">
      <c r="A111" s="142" t="s">
        <v>293</v>
      </c>
      <c r="B111" s="143">
        <v>100618890</v>
      </c>
      <c r="C111" s="143">
        <v>27169996</v>
      </c>
      <c r="D111" s="258" t="s">
        <v>1124</v>
      </c>
      <c r="E111" s="143" t="s">
        <v>37</v>
      </c>
      <c r="F111" s="143">
        <v>2</v>
      </c>
      <c r="G111" s="304" t="s">
        <v>506</v>
      </c>
      <c r="H111" s="304" t="s">
        <v>150</v>
      </c>
      <c r="I111" s="296">
        <v>46031</v>
      </c>
      <c r="J111" s="296">
        <v>46211</v>
      </c>
      <c r="K111" s="328"/>
      <c r="L111" s="143" t="s">
        <v>25</v>
      </c>
      <c r="M111" s="143">
        <v>5940</v>
      </c>
      <c r="N111" s="236" t="s">
        <v>26</v>
      </c>
    </row>
    <row r="112" spans="1:14" s="237" customFormat="1">
      <c r="A112" s="142" t="s">
        <v>293</v>
      </c>
      <c r="B112" s="143">
        <v>100618890</v>
      </c>
      <c r="C112" s="143">
        <v>27169996</v>
      </c>
      <c r="D112" s="258" t="s">
        <v>594</v>
      </c>
      <c r="E112" s="143" t="s">
        <v>52</v>
      </c>
      <c r="F112" s="143">
        <v>2</v>
      </c>
      <c r="G112" s="304" t="s">
        <v>184</v>
      </c>
      <c r="H112" s="304" t="s">
        <v>125</v>
      </c>
      <c r="I112" s="296">
        <v>46031</v>
      </c>
      <c r="J112" s="296">
        <v>46211</v>
      </c>
      <c r="K112" s="328"/>
      <c r="L112" s="143" t="s">
        <v>25</v>
      </c>
      <c r="M112" s="143">
        <v>5940</v>
      </c>
      <c r="N112" s="236" t="s">
        <v>26</v>
      </c>
    </row>
    <row r="113" spans="1:14" s="364" customFormat="1">
      <c r="A113" s="357" t="s">
        <v>886</v>
      </c>
      <c r="B113" s="359">
        <v>101389035</v>
      </c>
      <c r="C113" s="359">
        <v>26855981</v>
      </c>
      <c r="D113" s="365" t="s">
        <v>167</v>
      </c>
      <c r="E113" s="359" t="s">
        <v>40</v>
      </c>
      <c r="F113" s="359">
        <v>2</v>
      </c>
      <c r="G113" s="386" t="s">
        <v>889</v>
      </c>
      <c r="H113" s="359" t="s">
        <v>195</v>
      </c>
      <c r="I113" s="368">
        <v>46017</v>
      </c>
      <c r="J113" s="368">
        <v>46204</v>
      </c>
      <c r="K113" s="377"/>
      <c r="L113" s="359"/>
      <c r="M113" s="359"/>
      <c r="N113" s="17"/>
    </row>
    <row r="114" spans="1:14">
      <c r="A114" s="3" t="s">
        <v>225</v>
      </c>
      <c r="B114" s="2">
        <v>100233303</v>
      </c>
      <c r="C114" s="2">
        <v>26117579</v>
      </c>
      <c r="D114" s="6" t="s">
        <v>165</v>
      </c>
      <c r="E114" s="2" t="s">
        <v>40</v>
      </c>
      <c r="F114" s="2">
        <v>2</v>
      </c>
      <c r="G114" s="2" t="s">
        <v>919</v>
      </c>
      <c r="H114" s="2" t="s">
        <v>125</v>
      </c>
      <c r="I114" s="16">
        <v>45975</v>
      </c>
      <c r="J114" s="16">
        <v>46161</v>
      </c>
      <c r="K114" s="42"/>
      <c r="L114" s="2" t="s">
        <v>595</v>
      </c>
      <c r="M114" s="2">
        <v>7011</v>
      </c>
      <c r="N114" s="17" t="s">
        <v>596</v>
      </c>
    </row>
    <row r="115" spans="1:14" ht="14.25" customHeight="1">
      <c r="A115" s="3" t="s">
        <v>1109</v>
      </c>
      <c r="B115" s="2">
        <v>100427929</v>
      </c>
      <c r="C115" s="2">
        <v>26950090</v>
      </c>
      <c r="D115" s="6" t="s">
        <v>881</v>
      </c>
      <c r="E115" s="2" t="s">
        <v>37</v>
      </c>
      <c r="F115" s="2">
        <v>2</v>
      </c>
      <c r="G115" s="2" t="s">
        <v>506</v>
      </c>
      <c r="H115" s="2" t="s">
        <v>121</v>
      </c>
      <c r="I115" s="16">
        <v>46022</v>
      </c>
      <c r="J115" s="16">
        <v>46053</v>
      </c>
      <c r="K115" s="42"/>
      <c r="L115" s="2"/>
      <c r="M115" s="2"/>
      <c r="N115" s="17"/>
    </row>
    <row r="116" spans="1:14">
      <c r="A116" s="3" t="s">
        <v>225</v>
      </c>
      <c r="B116" s="2">
        <v>100233303</v>
      </c>
      <c r="C116" s="2">
        <v>26117579</v>
      </c>
      <c r="D116" s="6" t="s">
        <v>202</v>
      </c>
      <c r="E116" s="2" t="s">
        <v>90</v>
      </c>
      <c r="F116" s="2">
        <v>2</v>
      </c>
      <c r="G116" s="2" t="s">
        <v>1047</v>
      </c>
      <c r="H116" s="2" t="s">
        <v>125</v>
      </c>
      <c r="I116" s="16">
        <v>45975</v>
      </c>
      <c r="J116" s="16">
        <v>46161</v>
      </c>
      <c r="K116" s="42"/>
      <c r="L116" s="2" t="s">
        <v>595</v>
      </c>
      <c r="M116" s="2">
        <v>7011</v>
      </c>
      <c r="N116" s="17" t="s">
        <v>596</v>
      </c>
    </row>
    <row r="117" spans="1:14" s="237" customFormat="1">
      <c r="A117" s="142" t="s">
        <v>231</v>
      </c>
      <c r="B117" s="143">
        <v>100583639</v>
      </c>
      <c r="C117" s="143">
        <v>27100299</v>
      </c>
      <c r="D117" s="258" t="s">
        <v>123</v>
      </c>
      <c r="E117" s="143" t="s">
        <v>67</v>
      </c>
      <c r="F117" s="143">
        <v>2</v>
      </c>
      <c r="G117" s="143" t="s">
        <v>71</v>
      </c>
      <c r="H117" s="143" t="s">
        <v>147</v>
      </c>
      <c r="I117" s="302">
        <v>46023</v>
      </c>
      <c r="J117" s="302">
        <v>46174</v>
      </c>
      <c r="K117" s="328"/>
      <c r="L117" s="143" t="s">
        <v>25</v>
      </c>
      <c r="M117" s="143">
        <v>5940</v>
      </c>
      <c r="N117" s="236" t="s">
        <v>26</v>
      </c>
    </row>
    <row r="118" spans="1:14" s="115" customFormat="1">
      <c r="A118" s="3" t="s">
        <v>232</v>
      </c>
      <c r="B118" s="2">
        <v>101306150</v>
      </c>
      <c r="C118" s="2">
        <v>26242604</v>
      </c>
      <c r="D118" s="6" t="s">
        <v>164</v>
      </c>
      <c r="E118" s="2" t="s">
        <v>38</v>
      </c>
      <c r="F118" s="2">
        <v>2</v>
      </c>
      <c r="G118" s="2" t="s">
        <v>16</v>
      </c>
      <c r="H118" s="2" t="s">
        <v>125</v>
      </c>
      <c r="I118" s="16">
        <v>45978</v>
      </c>
      <c r="J118" s="16">
        <v>46158</v>
      </c>
      <c r="K118" s="40"/>
      <c r="L118" s="15" t="s">
        <v>25</v>
      </c>
      <c r="M118" s="15">
        <v>5940</v>
      </c>
      <c r="N118" s="31" t="s">
        <v>26</v>
      </c>
    </row>
    <row r="119" spans="1:14" s="115" customFormat="1">
      <c r="A119" s="111" t="s">
        <v>234</v>
      </c>
      <c r="B119" s="112">
        <v>100908014</v>
      </c>
      <c r="C119" s="112">
        <v>24336203</v>
      </c>
      <c r="D119" s="113" t="s">
        <v>632</v>
      </c>
      <c r="E119" s="112" t="s">
        <v>38</v>
      </c>
      <c r="F119" s="112">
        <v>2</v>
      </c>
      <c r="G119" s="112" t="s">
        <v>16</v>
      </c>
      <c r="H119" s="112" t="s">
        <v>195</v>
      </c>
      <c r="I119" s="152">
        <v>45898</v>
      </c>
      <c r="J119" s="152">
        <v>46081</v>
      </c>
      <c r="K119" s="114" t="s">
        <v>233</v>
      </c>
      <c r="L119" s="153" t="s">
        <v>25</v>
      </c>
      <c r="M119" s="153">
        <v>5941</v>
      </c>
      <c r="N119" s="247" t="s">
        <v>26</v>
      </c>
    </row>
    <row r="120" spans="1:14">
      <c r="A120" s="111" t="s">
        <v>234</v>
      </c>
      <c r="B120" s="112">
        <v>100908014</v>
      </c>
      <c r="C120" s="112">
        <v>24336203</v>
      </c>
      <c r="D120" s="113" t="s">
        <v>229</v>
      </c>
      <c r="E120" s="112" t="s">
        <v>38</v>
      </c>
      <c r="F120" s="112">
        <v>2</v>
      </c>
      <c r="G120" s="112" t="s">
        <v>16</v>
      </c>
      <c r="H120" s="112" t="s">
        <v>150</v>
      </c>
      <c r="I120" s="152">
        <v>45898</v>
      </c>
      <c r="J120" s="152">
        <v>46081</v>
      </c>
      <c r="K120" s="114" t="s">
        <v>233</v>
      </c>
      <c r="L120" s="112" t="s">
        <v>25</v>
      </c>
      <c r="M120" s="112">
        <v>5941</v>
      </c>
      <c r="N120" s="238" t="s">
        <v>26</v>
      </c>
    </row>
    <row r="121" spans="1:14" s="237" customFormat="1" ht="14" customHeight="1">
      <c r="A121" s="142" t="s">
        <v>885</v>
      </c>
      <c r="B121" s="143">
        <v>101271293</v>
      </c>
      <c r="C121" s="143">
        <v>27019483</v>
      </c>
      <c r="D121" s="258" t="s">
        <v>635</v>
      </c>
      <c r="E121" s="143" t="s">
        <v>48</v>
      </c>
      <c r="F121" s="143">
        <v>2</v>
      </c>
      <c r="G121" s="143" t="s">
        <v>140</v>
      </c>
      <c r="H121" s="304" t="s">
        <v>156</v>
      </c>
      <c r="I121" s="302">
        <v>46027</v>
      </c>
      <c r="J121" s="302">
        <v>46143</v>
      </c>
      <c r="K121" s="305"/>
      <c r="L121" s="143" t="s">
        <v>595</v>
      </c>
      <c r="M121" s="143">
        <v>7011</v>
      </c>
      <c r="N121" s="236" t="s">
        <v>596</v>
      </c>
    </row>
    <row r="122" spans="1:14" s="237" customFormat="1" ht="14" customHeight="1">
      <c r="A122" s="142" t="s">
        <v>298</v>
      </c>
      <c r="B122" s="143">
        <v>100016216</v>
      </c>
      <c r="C122" s="143">
        <v>26730559</v>
      </c>
      <c r="D122" s="258" t="s">
        <v>956</v>
      </c>
      <c r="E122" s="143" t="s">
        <v>74</v>
      </c>
      <c r="F122" s="143">
        <v>2</v>
      </c>
      <c r="G122" s="143" t="s">
        <v>847</v>
      </c>
      <c r="H122" s="143" t="s">
        <v>822</v>
      </c>
      <c r="I122" s="302">
        <v>46009</v>
      </c>
      <c r="J122" s="302">
        <v>46189</v>
      </c>
      <c r="K122" s="305"/>
      <c r="L122" s="143" t="s">
        <v>65</v>
      </c>
      <c r="M122" s="143">
        <v>7017</v>
      </c>
      <c r="N122" s="236" t="s">
        <v>66</v>
      </c>
    </row>
    <row r="123" spans="1:14">
      <c r="A123" s="142" t="s">
        <v>298</v>
      </c>
      <c r="B123" s="143">
        <v>100016216</v>
      </c>
      <c r="C123" s="143">
        <v>26730559</v>
      </c>
      <c r="D123" s="258" t="s">
        <v>635</v>
      </c>
      <c r="E123" s="143" t="s">
        <v>48</v>
      </c>
      <c r="F123" s="143">
        <v>2</v>
      </c>
      <c r="G123" s="143" t="s">
        <v>95</v>
      </c>
      <c r="H123" s="143" t="s">
        <v>822</v>
      </c>
      <c r="I123" s="302">
        <v>46009</v>
      </c>
      <c r="J123" s="302">
        <v>46189</v>
      </c>
      <c r="K123" s="305"/>
      <c r="L123" s="257" t="s">
        <v>65</v>
      </c>
      <c r="M123" s="257">
        <v>7017</v>
      </c>
      <c r="N123" s="307" t="s">
        <v>66</v>
      </c>
    </row>
    <row r="124" spans="1:14" s="237" customFormat="1">
      <c r="A124" s="3" t="s">
        <v>101</v>
      </c>
      <c r="B124" s="2">
        <v>101208831</v>
      </c>
      <c r="C124" s="2">
        <v>24400191</v>
      </c>
      <c r="D124" s="6" t="s">
        <v>189</v>
      </c>
      <c r="E124" s="2" t="s">
        <v>23</v>
      </c>
      <c r="F124" s="2">
        <v>3</v>
      </c>
      <c r="G124" s="41" t="s">
        <v>1107</v>
      </c>
      <c r="H124" s="41" t="s">
        <v>162</v>
      </c>
      <c r="I124" s="39">
        <v>45903</v>
      </c>
      <c r="J124" s="39">
        <v>46084</v>
      </c>
      <c r="K124" s="42"/>
      <c r="L124" s="15" t="s">
        <v>65</v>
      </c>
      <c r="M124" s="15">
        <v>7017</v>
      </c>
      <c r="N124" s="31" t="s">
        <v>66</v>
      </c>
    </row>
    <row r="125" spans="1:14">
      <c r="A125" s="3" t="s">
        <v>509</v>
      </c>
      <c r="B125" s="2">
        <v>100021562</v>
      </c>
      <c r="C125" s="2">
        <v>25179627</v>
      </c>
      <c r="D125" s="6" t="s">
        <v>145</v>
      </c>
      <c r="E125" s="2" t="s">
        <v>67</v>
      </c>
      <c r="F125" s="2">
        <v>2</v>
      </c>
      <c r="G125" s="41" t="s">
        <v>24</v>
      </c>
      <c r="H125" s="41" t="s">
        <v>670</v>
      </c>
      <c r="I125" s="16">
        <v>45939</v>
      </c>
      <c r="J125" s="16">
        <v>46128</v>
      </c>
      <c r="K125" s="42"/>
      <c r="L125" s="15" t="s">
        <v>65</v>
      </c>
      <c r="M125" s="15">
        <v>7017</v>
      </c>
      <c r="N125" s="31" t="s">
        <v>66</v>
      </c>
    </row>
    <row r="126" spans="1:14">
      <c r="A126" s="46" t="s">
        <v>508</v>
      </c>
      <c r="B126" s="2">
        <v>100830511</v>
      </c>
      <c r="C126" s="2">
        <v>26053693</v>
      </c>
      <c r="D126" s="6" t="s">
        <v>956</v>
      </c>
      <c r="E126" s="2" t="s">
        <v>74</v>
      </c>
      <c r="F126" s="2">
        <v>2</v>
      </c>
      <c r="G126" s="2" t="s">
        <v>214</v>
      </c>
      <c r="H126" s="2" t="s">
        <v>230</v>
      </c>
      <c r="I126" s="16">
        <v>45978</v>
      </c>
      <c r="J126" s="16">
        <v>46072</v>
      </c>
      <c r="K126" s="288"/>
      <c r="L126" s="15" t="s">
        <v>44</v>
      </c>
      <c r="M126" s="2">
        <v>1707</v>
      </c>
      <c r="N126" s="31" t="s">
        <v>910</v>
      </c>
    </row>
    <row r="127" spans="1:14">
      <c r="A127" s="46" t="s">
        <v>508</v>
      </c>
      <c r="B127" s="2">
        <v>100830511</v>
      </c>
      <c r="C127" s="2">
        <v>26053693</v>
      </c>
      <c r="D127" s="6" t="s">
        <v>123</v>
      </c>
      <c r="E127" s="2" t="s">
        <v>74</v>
      </c>
      <c r="F127" s="2">
        <v>2</v>
      </c>
      <c r="G127" s="2" t="s">
        <v>965</v>
      </c>
      <c r="H127" s="2" t="s">
        <v>230</v>
      </c>
      <c r="I127" s="16">
        <v>45978</v>
      </c>
      <c r="J127" s="16">
        <v>46072</v>
      </c>
      <c r="K127" s="288"/>
      <c r="L127" s="2" t="s">
        <v>44</v>
      </c>
      <c r="M127" s="2">
        <v>1707</v>
      </c>
      <c r="N127" s="17" t="s">
        <v>910</v>
      </c>
    </row>
    <row r="128" spans="1:14" s="237" customFormat="1">
      <c r="A128" s="46" t="s">
        <v>103</v>
      </c>
      <c r="B128" s="2">
        <v>100239887</v>
      </c>
      <c r="C128" s="2">
        <v>25757813</v>
      </c>
      <c r="D128" s="6" t="s">
        <v>189</v>
      </c>
      <c r="E128" s="2" t="s">
        <v>74</v>
      </c>
      <c r="F128" s="2">
        <v>2</v>
      </c>
      <c r="G128" s="2" t="s">
        <v>1031</v>
      </c>
      <c r="H128" s="2" t="s">
        <v>125</v>
      </c>
      <c r="I128" s="16">
        <v>45960</v>
      </c>
      <c r="J128" s="16">
        <v>46142</v>
      </c>
      <c r="K128" s="150"/>
      <c r="L128" s="2" t="s">
        <v>65</v>
      </c>
      <c r="M128" s="2">
        <v>7017</v>
      </c>
      <c r="N128" s="17" t="s">
        <v>66</v>
      </c>
    </row>
    <row r="129" spans="1:15" s="237" customFormat="1">
      <c r="A129" s="46" t="s">
        <v>877</v>
      </c>
      <c r="B129" s="2">
        <v>100067139</v>
      </c>
      <c r="C129" s="2">
        <v>23225364</v>
      </c>
      <c r="D129" s="6" t="s">
        <v>956</v>
      </c>
      <c r="E129" s="2" t="s">
        <v>48</v>
      </c>
      <c r="F129" s="2">
        <v>2</v>
      </c>
      <c r="G129" s="2" t="s">
        <v>988</v>
      </c>
      <c r="H129" s="2" t="s">
        <v>125</v>
      </c>
      <c r="I129" s="16" t="s">
        <v>999</v>
      </c>
      <c r="J129" s="16">
        <v>46113</v>
      </c>
      <c r="K129" s="42"/>
      <c r="L129" s="2" t="s">
        <v>65</v>
      </c>
      <c r="M129" s="2">
        <v>7017</v>
      </c>
      <c r="N129" s="17" t="s">
        <v>66</v>
      </c>
    </row>
    <row r="130" spans="1:15">
      <c r="A130" s="46" t="s">
        <v>877</v>
      </c>
      <c r="B130" s="2">
        <v>100067139</v>
      </c>
      <c r="C130" s="2">
        <v>23225364</v>
      </c>
      <c r="D130" s="6" t="s">
        <v>615</v>
      </c>
      <c r="E130" s="2" t="s">
        <v>74</v>
      </c>
      <c r="F130" s="2">
        <v>2</v>
      </c>
      <c r="G130" s="2" t="s">
        <v>807</v>
      </c>
      <c r="H130" s="2" t="s">
        <v>125</v>
      </c>
      <c r="I130" s="16" t="s">
        <v>999</v>
      </c>
      <c r="J130" s="16">
        <v>46113</v>
      </c>
      <c r="K130" s="42"/>
      <c r="L130" s="2" t="s">
        <v>65</v>
      </c>
      <c r="M130" s="2">
        <v>7017</v>
      </c>
      <c r="N130" s="17" t="s">
        <v>66</v>
      </c>
    </row>
    <row r="131" spans="1:15" s="237" customFormat="1">
      <c r="A131" s="259" t="s">
        <v>1116</v>
      </c>
      <c r="B131" s="143">
        <v>101365233</v>
      </c>
      <c r="C131" s="143">
        <v>27090241</v>
      </c>
      <c r="D131" s="258" t="s">
        <v>897</v>
      </c>
      <c r="E131" s="143" t="s">
        <v>74</v>
      </c>
      <c r="F131" s="143">
        <v>2</v>
      </c>
      <c r="G131" s="143" t="s">
        <v>1018</v>
      </c>
      <c r="H131" s="143" t="s">
        <v>897</v>
      </c>
      <c r="I131" s="302">
        <v>46030</v>
      </c>
      <c r="J131" s="302">
        <v>46112</v>
      </c>
      <c r="K131" s="305"/>
      <c r="L131" s="143"/>
      <c r="M131" s="143"/>
      <c r="N131" s="236"/>
    </row>
    <row r="132" spans="1:15">
      <c r="A132" s="3" t="s">
        <v>104</v>
      </c>
      <c r="B132" s="2">
        <v>19417764</v>
      </c>
      <c r="C132" s="2">
        <v>24960135</v>
      </c>
      <c r="D132" s="6" t="s">
        <v>119</v>
      </c>
      <c r="E132" s="2" t="s">
        <v>90</v>
      </c>
      <c r="F132" s="2">
        <v>2</v>
      </c>
      <c r="G132" s="2" t="s">
        <v>677</v>
      </c>
      <c r="H132" s="2" t="s">
        <v>125</v>
      </c>
      <c r="I132" s="39">
        <v>45929</v>
      </c>
      <c r="J132" s="39">
        <v>46111</v>
      </c>
      <c r="K132" s="40"/>
      <c r="L132" s="2"/>
      <c r="M132" s="2"/>
      <c r="N132" s="17"/>
    </row>
    <row r="133" spans="1:15" s="237" customFormat="1">
      <c r="A133" s="3" t="s">
        <v>240</v>
      </c>
      <c r="B133" s="2">
        <v>100288942</v>
      </c>
      <c r="C133" s="2">
        <v>24306360</v>
      </c>
      <c r="D133" s="6" t="s">
        <v>171</v>
      </c>
      <c r="E133" s="2" t="s">
        <v>52</v>
      </c>
      <c r="F133" s="2">
        <v>2</v>
      </c>
      <c r="G133" s="41" t="s">
        <v>200</v>
      </c>
      <c r="H133" s="41" t="s">
        <v>178</v>
      </c>
      <c r="I133" s="39">
        <v>45897</v>
      </c>
      <c r="J133" s="39">
        <v>46081</v>
      </c>
      <c r="K133" s="40"/>
      <c r="L133" s="2" t="s">
        <v>680</v>
      </c>
      <c r="M133" s="2">
        <v>3763</v>
      </c>
      <c r="N133" s="17" t="s">
        <v>681</v>
      </c>
    </row>
    <row r="134" spans="1:15" ht="14.25" customHeight="1">
      <c r="A134" s="3" t="s">
        <v>622</v>
      </c>
      <c r="B134" s="2">
        <v>101233801</v>
      </c>
      <c r="C134" s="2">
        <v>26889774</v>
      </c>
      <c r="D134" s="6" t="s">
        <v>615</v>
      </c>
      <c r="E134" s="2" t="s">
        <v>40</v>
      </c>
      <c r="F134" s="2">
        <v>2</v>
      </c>
      <c r="G134" s="41" t="s">
        <v>887</v>
      </c>
      <c r="H134" s="41" t="s">
        <v>808</v>
      </c>
      <c r="I134" s="39">
        <v>46023</v>
      </c>
      <c r="J134" s="39">
        <v>46172</v>
      </c>
      <c r="K134" s="40" t="s">
        <v>684</v>
      </c>
      <c r="L134" s="2"/>
      <c r="M134" s="2"/>
      <c r="N134" s="17"/>
    </row>
    <row r="135" spans="1:15" s="237" customFormat="1">
      <c r="A135" s="142" t="s">
        <v>828</v>
      </c>
      <c r="B135" s="143">
        <v>100356207</v>
      </c>
      <c r="C135" s="143">
        <v>26945264</v>
      </c>
      <c r="D135" s="258" t="s">
        <v>679</v>
      </c>
      <c r="E135" s="143" t="s">
        <v>40</v>
      </c>
      <c r="F135" s="294">
        <v>2</v>
      </c>
      <c r="G135" s="291" t="s">
        <v>616</v>
      </c>
      <c r="H135" s="304" t="s">
        <v>178</v>
      </c>
      <c r="I135" s="296">
        <v>46022</v>
      </c>
      <c r="J135" s="296">
        <v>46203</v>
      </c>
      <c r="K135" s="328"/>
      <c r="L135" s="143" t="s">
        <v>680</v>
      </c>
      <c r="M135" s="143">
        <v>3763</v>
      </c>
      <c r="N135" s="236" t="s">
        <v>681</v>
      </c>
    </row>
    <row r="136" spans="1:15">
      <c r="A136" s="46" t="s">
        <v>336</v>
      </c>
      <c r="B136" s="2">
        <v>101324148</v>
      </c>
      <c r="C136" s="2">
        <v>24713719</v>
      </c>
      <c r="D136" s="3" t="s">
        <v>956</v>
      </c>
      <c r="E136" s="2" t="s">
        <v>40</v>
      </c>
      <c r="F136" s="2">
        <v>2</v>
      </c>
      <c r="G136" s="41" t="s">
        <v>837</v>
      </c>
      <c r="H136" s="59" t="s">
        <v>30</v>
      </c>
      <c r="I136" s="60">
        <v>45917</v>
      </c>
      <c r="J136" s="60">
        <v>46103</v>
      </c>
      <c r="K136" s="15"/>
      <c r="L136" s="2" t="s">
        <v>44</v>
      </c>
      <c r="M136" s="2">
        <v>1707</v>
      </c>
      <c r="N136" s="17" t="s">
        <v>910</v>
      </c>
    </row>
    <row r="137" spans="1:15" s="237" customFormat="1">
      <c r="A137" s="142" t="s">
        <v>825</v>
      </c>
      <c r="B137" s="143">
        <v>100549135</v>
      </c>
      <c r="C137" s="143">
        <v>27019871</v>
      </c>
      <c r="D137" s="142" t="s">
        <v>818</v>
      </c>
      <c r="E137" s="143" t="s">
        <v>43</v>
      </c>
      <c r="F137" s="143">
        <v>2</v>
      </c>
      <c r="G137" s="291" t="s">
        <v>871</v>
      </c>
      <c r="H137" s="303" t="s">
        <v>54</v>
      </c>
      <c r="I137" s="296">
        <v>46027</v>
      </c>
      <c r="J137" s="296">
        <v>46201</v>
      </c>
      <c r="K137" s="143"/>
      <c r="L137" s="143" t="s">
        <v>44</v>
      </c>
      <c r="M137" s="143">
        <v>1707</v>
      </c>
      <c r="N137" s="236" t="s">
        <v>910</v>
      </c>
    </row>
    <row r="138" spans="1:15" s="237" customFormat="1">
      <c r="A138" s="259" t="s">
        <v>825</v>
      </c>
      <c r="B138" s="143">
        <v>100549135</v>
      </c>
      <c r="C138" s="143">
        <v>27019871</v>
      </c>
      <c r="D138" s="142" t="s">
        <v>159</v>
      </c>
      <c r="E138" s="143" t="s">
        <v>48</v>
      </c>
      <c r="F138" s="143">
        <v>2</v>
      </c>
      <c r="G138" s="304" t="s">
        <v>95</v>
      </c>
      <c r="H138" s="303" t="s">
        <v>54</v>
      </c>
      <c r="I138" s="296">
        <v>46027</v>
      </c>
      <c r="J138" s="296">
        <v>46201</v>
      </c>
      <c r="K138" s="257"/>
      <c r="L138" s="143" t="s">
        <v>44</v>
      </c>
      <c r="M138" s="143">
        <v>1707</v>
      </c>
      <c r="N138" s="236" t="s">
        <v>910</v>
      </c>
    </row>
    <row r="139" spans="1:15" s="269" customFormat="1" ht="14.25" customHeight="1">
      <c r="A139" s="46" t="s">
        <v>241</v>
      </c>
      <c r="B139" s="2">
        <v>100552052</v>
      </c>
      <c r="C139" s="2">
        <v>25042537</v>
      </c>
      <c r="D139" s="6" t="s">
        <v>615</v>
      </c>
      <c r="E139" s="2" t="s">
        <v>23</v>
      </c>
      <c r="F139" s="2">
        <v>2</v>
      </c>
      <c r="G139" s="41" t="s">
        <v>692</v>
      </c>
      <c r="H139" s="41" t="s">
        <v>693</v>
      </c>
      <c r="I139" s="60">
        <v>45932</v>
      </c>
      <c r="J139" s="60">
        <v>46113</v>
      </c>
      <c r="K139" s="15"/>
      <c r="L139" s="2" t="s">
        <v>65</v>
      </c>
      <c r="M139" s="2">
        <v>5140</v>
      </c>
      <c r="N139" s="17" t="s">
        <v>66</v>
      </c>
    </row>
    <row r="140" spans="1:15" ht="14.25" customHeight="1">
      <c r="A140" s="158" t="s">
        <v>865</v>
      </c>
      <c r="B140" s="159">
        <v>101011040</v>
      </c>
      <c r="C140" s="159">
        <v>24586956</v>
      </c>
      <c r="D140" s="158" t="s">
        <v>679</v>
      </c>
      <c r="E140" s="159" t="s">
        <v>48</v>
      </c>
      <c r="F140" s="262">
        <v>2</v>
      </c>
      <c r="G140" s="263" t="s">
        <v>506</v>
      </c>
      <c r="H140" s="264" t="s">
        <v>181</v>
      </c>
      <c r="I140" s="265">
        <v>45911</v>
      </c>
      <c r="J140" s="266">
        <v>45947</v>
      </c>
      <c r="K140" s="267" t="s">
        <v>1040</v>
      </c>
      <c r="L140" s="267" t="s">
        <v>680</v>
      </c>
      <c r="M140" s="159">
        <v>3763</v>
      </c>
      <c r="N140" s="268" t="s">
        <v>681</v>
      </c>
    </row>
    <row r="141" spans="1:15" ht="14.25" customHeight="1">
      <c r="A141" s="3" t="s">
        <v>865</v>
      </c>
      <c r="B141" s="2">
        <v>101011040</v>
      </c>
      <c r="C141" s="2">
        <v>26147806</v>
      </c>
      <c r="D141" s="3" t="s">
        <v>679</v>
      </c>
      <c r="E141" s="2" t="s">
        <v>48</v>
      </c>
      <c r="F141" s="43">
        <v>2</v>
      </c>
      <c r="G141" s="45" t="s">
        <v>506</v>
      </c>
      <c r="H141" s="41" t="s">
        <v>181</v>
      </c>
      <c r="I141" s="39">
        <v>45981</v>
      </c>
      <c r="J141" s="16">
        <v>46150</v>
      </c>
      <c r="K141" s="15" t="s">
        <v>1051</v>
      </c>
      <c r="L141" s="15" t="s">
        <v>680</v>
      </c>
      <c r="M141" s="2">
        <v>3763</v>
      </c>
      <c r="N141" s="31" t="s">
        <v>681</v>
      </c>
    </row>
    <row r="142" spans="1:15" ht="14.25" customHeight="1">
      <c r="A142" s="46" t="s">
        <v>997</v>
      </c>
      <c r="B142" s="2">
        <v>100528299</v>
      </c>
      <c r="C142" s="2">
        <v>26837652</v>
      </c>
      <c r="D142" s="3" t="s">
        <v>171</v>
      </c>
      <c r="E142" s="2" t="s">
        <v>23</v>
      </c>
      <c r="F142" s="43">
        <v>2</v>
      </c>
      <c r="G142" s="41" t="s">
        <v>692</v>
      </c>
      <c r="H142" s="41" t="s">
        <v>693</v>
      </c>
      <c r="I142" s="39">
        <v>46015</v>
      </c>
      <c r="J142" s="16">
        <v>46197</v>
      </c>
      <c r="K142" s="215"/>
      <c r="L142" s="15"/>
      <c r="M142" s="15"/>
      <c r="N142" s="31"/>
    </row>
    <row r="143" spans="1:15" ht="14.25" customHeight="1">
      <c r="A143" s="46" t="s">
        <v>997</v>
      </c>
      <c r="B143" s="2">
        <v>100528299</v>
      </c>
      <c r="C143" s="2">
        <v>26837652</v>
      </c>
      <c r="D143" s="3" t="s">
        <v>202</v>
      </c>
      <c r="E143" s="2" t="s">
        <v>74</v>
      </c>
      <c r="F143" s="43">
        <v>2</v>
      </c>
      <c r="G143" s="45" t="s">
        <v>75</v>
      </c>
      <c r="H143" s="41" t="s">
        <v>693</v>
      </c>
      <c r="I143" s="39">
        <v>46015</v>
      </c>
      <c r="J143" s="16">
        <v>46197</v>
      </c>
      <c r="K143" s="215"/>
      <c r="L143" s="15"/>
      <c r="M143" s="15"/>
      <c r="N143" s="31"/>
      <c r="O143" s="31" t="s">
        <v>26</v>
      </c>
    </row>
    <row r="144" spans="1:15">
      <c r="A144" s="3" t="s">
        <v>245</v>
      </c>
      <c r="B144" s="2">
        <v>100568492</v>
      </c>
      <c r="C144" s="2">
        <v>25854787</v>
      </c>
      <c r="D144" s="6" t="s">
        <v>119</v>
      </c>
      <c r="E144" s="2" t="s">
        <v>23</v>
      </c>
      <c r="F144" s="2">
        <v>2</v>
      </c>
      <c r="G144" s="6" t="s">
        <v>1039</v>
      </c>
      <c r="H144" s="41" t="s">
        <v>248</v>
      </c>
      <c r="I144" s="16">
        <v>45968</v>
      </c>
      <c r="J144" s="16">
        <v>46151</v>
      </c>
      <c r="K144" s="2"/>
      <c r="L144" s="15" t="s">
        <v>25</v>
      </c>
      <c r="M144" s="2">
        <v>5940</v>
      </c>
      <c r="N144" s="31" t="s">
        <v>26</v>
      </c>
    </row>
    <row r="145" spans="1:15">
      <c r="A145" s="111" t="s">
        <v>244</v>
      </c>
      <c r="B145" s="112">
        <v>100527045</v>
      </c>
      <c r="C145" s="112">
        <v>22101144</v>
      </c>
      <c r="D145" s="113" t="s">
        <v>159</v>
      </c>
      <c r="E145" s="112" t="s">
        <v>90</v>
      </c>
      <c r="F145" s="112">
        <v>2</v>
      </c>
      <c r="G145" s="116" t="s">
        <v>687</v>
      </c>
      <c r="H145" s="116" t="s">
        <v>816</v>
      </c>
      <c r="I145" s="152">
        <v>45789</v>
      </c>
      <c r="J145" s="152">
        <v>45973</v>
      </c>
      <c r="K145" s="210" t="s">
        <v>796</v>
      </c>
      <c r="L145" s="112"/>
      <c r="M145" s="2"/>
      <c r="N145" s="17"/>
    </row>
    <row r="146" spans="1:15">
      <c r="A146" s="111" t="s">
        <v>246</v>
      </c>
      <c r="B146" s="112">
        <v>100897835</v>
      </c>
      <c r="C146" s="112">
        <v>21420547</v>
      </c>
      <c r="D146" s="113" t="s">
        <v>119</v>
      </c>
      <c r="E146" s="112" t="s">
        <v>40</v>
      </c>
      <c r="F146" s="112">
        <v>2</v>
      </c>
      <c r="G146" s="116" t="s">
        <v>649</v>
      </c>
      <c r="H146" s="116" t="s">
        <v>147</v>
      </c>
      <c r="I146" s="152">
        <v>45940</v>
      </c>
      <c r="J146" s="152">
        <v>46121</v>
      </c>
      <c r="K146" s="210" t="s">
        <v>619</v>
      </c>
      <c r="L146" s="112" t="s">
        <v>25</v>
      </c>
      <c r="M146" s="2">
        <v>5940</v>
      </c>
      <c r="N146" s="17" t="s">
        <v>26</v>
      </c>
    </row>
    <row r="147" spans="1:15">
      <c r="A147" s="111" t="s">
        <v>246</v>
      </c>
      <c r="B147" s="112">
        <v>100897835</v>
      </c>
      <c r="C147" s="112">
        <v>21420547</v>
      </c>
      <c r="D147" s="113" t="s">
        <v>145</v>
      </c>
      <c r="E147" s="112" t="s">
        <v>74</v>
      </c>
      <c r="F147" s="112">
        <v>2</v>
      </c>
      <c r="G147" s="116" t="s">
        <v>75</v>
      </c>
      <c r="H147" s="116" t="s">
        <v>147</v>
      </c>
      <c r="I147" s="152">
        <v>45940</v>
      </c>
      <c r="J147" s="152">
        <v>46121</v>
      </c>
      <c r="K147" s="210" t="s">
        <v>619</v>
      </c>
      <c r="L147" s="112" t="s">
        <v>25</v>
      </c>
      <c r="M147" s="2">
        <v>5940</v>
      </c>
      <c r="N147" s="17" t="s">
        <v>26</v>
      </c>
    </row>
    <row r="148" spans="1:15">
      <c r="A148" s="111" t="s">
        <v>246</v>
      </c>
      <c r="B148" s="112">
        <v>100897835</v>
      </c>
      <c r="C148" s="112">
        <v>21420547</v>
      </c>
      <c r="D148" s="113" t="s">
        <v>229</v>
      </c>
      <c r="E148" s="112" t="s">
        <v>43</v>
      </c>
      <c r="F148" s="112">
        <v>2</v>
      </c>
      <c r="G148" s="116" t="s">
        <v>16</v>
      </c>
      <c r="H148" s="116" t="s">
        <v>129</v>
      </c>
      <c r="I148" s="152">
        <v>45940</v>
      </c>
      <c r="J148" s="152">
        <v>46121</v>
      </c>
      <c r="K148" s="210" t="s">
        <v>619</v>
      </c>
      <c r="L148" s="112" t="s">
        <v>25</v>
      </c>
      <c r="M148" s="2">
        <v>5940</v>
      </c>
      <c r="N148" s="17" t="s">
        <v>26</v>
      </c>
    </row>
    <row r="149" spans="1:15" s="237" customFormat="1">
      <c r="A149" s="3" t="s">
        <v>247</v>
      </c>
      <c r="B149" s="2">
        <v>101016739</v>
      </c>
      <c r="C149" s="2">
        <v>22981122</v>
      </c>
      <c r="D149" s="6" t="s">
        <v>165</v>
      </c>
      <c r="E149" s="2" t="s">
        <v>40</v>
      </c>
      <c r="F149" s="43">
        <v>2</v>
      </c>
      <c r="G149" s="45" t="s">
        <v>71</v>
      </c>
      <c r="H149" s="2" t="s">
        <v>183</v>
      </c>
      <c r="I149" s="16">
        <v>45839</v>
      </c>
      <c r="J149" s="16">
        <v>46053</v>
      </c>
      <c r="K149" s="241"/>
      <c r="L149" s="2" t="s">
        <v>31</v>
      </c>
      <c r="M149" s="2">
        <v>3705</v>
      </c>
      <c r="N149" s="17" t="s">
        <v>32</v>
      </c>
    </row>
    <row r="150" spans="1:15" s="142" customFormat="1">
      <c r="A150" s="142" t="s">
        <v>108</v>
      </c>
      <c r="B150" s="143">
        <v>101055698</v>
      </c>
      <c r="C150" s="143">
        <v>26884514</v>
      </c>
      <c r="D150" s="258" t="s">
        <v>202</v>
      </c>
      <c r="E150" s="143" t="s">
        <v>52</v>
      </c>
      <c r="F150" s="294">
        <v>2</v>
      </c>
      <c r="G150" s="291" t="s">
        <v>75</v>
      </c>
      <c r="H150" s="304" t="s">
        <v>248</v>
      </c>
      <c r="I150" s="296">
        <v>46023</v>
      </c>
      <c r="J150" s="296">
        <v>46143</v>
      </c>
      <c r="K150" s="305"/>
      <c r="L150" s="143" t="s">
        <v>25</v>
      </c>
      <c r="M150" s="143">
        <v>5940</v>
      </c>
      <c r="N150" s="236" t="s">
        <v>26</v>
      </c>
    </row>
    <row r="151" spans="1:15">
      <c r="A151" s="293" t="s">
        <v>108</v>
      </c>
      <c r="B151" s="294">
        <v>101055698</v>
      </c>
      <c r="C151" s="143">
        <v>26884514</v>
      </c>
      <c r="D151" s="295" t="s">
        <v>123</v>
      </c>
      <c r="E151" s="294" t="s">
        <v>23</v>
      </c>
      <c r="F151" s="294">
        <v>2</v>
      </c>
      <c r="G151" s="291" t="s">
        <v>24</v>
      </c>
      <c r="H151" s="294" t="s">
        <v>249</v>
      </c>
      <c r="I151" s="296">
        <v>46023</v>
      </c>
      <c r="J151" s="296">
        <v>46143</v>
      </c>
      <c r="K151" s="305"/>
      <c r="L151" s="294" t="s">
        <v>25</v>
      </c>
      <c r="M151" s="294">
        <v>5940</v>
      </c>
      <c r="N151" s="330" t="s">
        <v>26</v>
      </c>
    </row>
    <row r="152" spans="1:15">
      <c r="A152" s="52" t="s">
        <v>769</v>
      </c>
      <c r="B152" s="43">
        <v>101088110</v>
      </c>
      <c r="C152" s="2">
        <v>26577260</v>
      </c>
      <c r="D152" s="331" t="s">
        <v>679</v>
      </c>
      <c r="E152" s="43" t="s">
        <v>90</v>
      </c>
      <c r="F152" s="43">
        <v>2</v>
      </c>
      <c r="G152" s="45" t="s">
        <v>674</v>
      </c>
      <c r="H152" s="43" t="s">
        <v>147</v>
      </c>
      <c r="I152" s="39" t="s">
        <v>1082</v>
      </c>
      <c r="J152" s="39">
        <v>46033</v>
      </c>
      <c r="K152" s="214"/>
      <c r="L152" s="2" t="s">
        <v>680</v>
      </c>
      <c r="M152" s="2">
        <v>3763</v>
      </c>
      <c r="N152" s="17" t="s">
        <v>681</v>
      </c>
    </row>
    <row r="153" spans="1:15">
      <c r="A153" s="3" t="s">
        <v>250</v>
      </c>
      <c r="B153" s="2">
        <v>100749584</v>
      </c>
      <c r="C153" s="2">
        <v>26089607</v>
      </c>
      <c r="D153" s="6" t="s">
        <v>167</v>
      </c>
      <c r="E153" s="2" t="s">
        <v>48</v>
      </c>
      <c r="F153" s="2">
        <v>2</v>
      </c>
      <c r="G153" s="41" t="s">
        <v>29</v>
      </c>
      <c r="H153" s="2" t="s">
        <v>183</v>
      </c>
      <c r="I153" s="39">
        <v>45973</v>
      </c>
      <c r="J153" s="39">
        <v>46160</v>
      </c>
      <c r="K153" s="42"/>
      <c r="L153" s="2" t="s">
        <v>595</v>
      </c>
      <c r="M153" s="2">
        <v>7011</v>
      </c>
      <c r="N153" s="17" t="s">
        <v>596</v>
      </c>
    </row>
    <row r="154" spans="1:15">
      <c r="A154" s="111" t="s">
        <v>112</v>
      </c>
      <c r="B154" s="112">
        <v>101244096</v>
      </c>
      <c r="C154" s="112">
        <v>19904839</v>
      </c>
      <c r="D154" s="113" t="s">
        <v>123</v>
      </c>
      <c r="E154" s="112" t="s">
        <v>160</v>
      </c>
      <c r="F154" s="112">
        <v>2</v>
      </c>
      <c r="G154" s="116" t="s">
        <v>24</v>
      </c>
      <c r="H154" s="116" t="s">
        <v>251</v>
      </c>
      <c r="I154" s="117">
        <v>45667</v>
      </c>
      <c r="J154" s="117">
        <v>45848</v>
      </c>
      <c r="K154" s="114" t="s">
        <v>636</v>
      </c>
      <c r="L154" s="112"/>
      <c r="M154" s="2"/>
      <c r="N154" s="17"/>
    </row>
    <row r="155" spans="1:15">
      <c r="A155" s="144" t="s">
        <v>112</v>
      </c>
      <c r="B155" s="145">
        <v>101244096</v>
      </c>
      <c r="C155" s="145">
        <v>19904839</v>
      </c>
      <c r="D155" s="146" t="s">
        <v>202</v>
      </c>
      <c r="E155" s="145" t="s">
        <v>74</v>
      </c>
      <c r="F155" s="145">
        <v>2</v>
      </c>
      <c r="G155" s="147" t="s">
        <v>75</v>
      </c>
      <c r="H155" s="147" t="s">
        <v>252</v>
      </c>
      <c r="I155" s="148">
        <v>45667</v>
      </c>
      <c r="J155" s="148">
        <v>45848</v>
      </c>
      <c r="K155" s="149" t="s">
        <v>636</v>
      </c>
      <c r="L155" s="145"/>
      <c r="M155" s="2"/>
      <c r="N155" s="17"/>
      <c r="O155" s="17"/>
    </row>
    <row r="156" spans="1:15" s="237" customFormat="1">
      <c r="A156" s="259" t="s">
        <v>1000</v>
      </c>
      <c r="B156" s="143">
        <v>100189687</v>
      </c>
      <c r="C156" s="143">
        <v>27272035</v>
      </c>
      <c r="D156" s="142" t="s">
        <v>818</v>
      </c>
      <c r="E156" s="256" t="s">
        <v>40</v>
      </c>
      <c r="F156" s="256">
        <v>2</v>
      </c>
      <c r="G156" s="291" t="s">
        <v>1052</v>
      </c>
      <c r="H156" s="143" t="s">
        <v>162</v>
      </c>
      <c r="I156" s="260">
        <v>46035</v>
      </c>
      <c r="J156" s="272">
        <v>46128</v>
      </c>
      <c r="K156" s="257"/>
      <c r="L156" s="257" t="s">
        <v>25</v>
      </c>
      <c r="M156" s="257">
        <v>5940</v>
      </c>
      <c r="N156" s="307" t="s">
        <v>26</v>
      </c>
      <c r="O156" s="387"/>
    </row>
    <row r="157" spans="1:15">
      <c r="A157" s="259" t="s">
        <v>1079</v>
      </c>
      <c r="B157" s="143">
        <v>101400499</v>
      </c>
      <c r="C157" s="143">
        <v>26515952</v>
      </c>
      <c r="D157" s="142" t="s">
        <v>1070</v>
      </c>
      <c r="E157" s="256" t="s">
        <v>43</v>
      </c>
      <c r="F157" s="256">
        <v>2</v>
      </c>
      <c r="G157" s="291" t="s">
        <v>16</v>
      </c>
      <c r="H157" s="143" t="s">
        <v>1080</v>
      </c>
      <c r="I157" s="260">
        <v>46000</v>
      </c>
      <c r="J157" s="272">
        <v>46079</v>
      </c>
      <c r="K157" s="257"/>
      <c r="L157" s="143" t="s">
        <v>900</v>
      </c>
      <c r="M157" s="292" t="s">
        <v>19</v>
      </c>
      <c r="N157" s="236" t="s">
        <v>901</v>
      </c>
    </row>
    <row r="158" spans="1:15">
      <c r="A158" s="46" t="s">
        <v>657</v>
      </c>
      <c r="B158" s="2">
        <v>100352199</v>
      </c>
      <c r="C158" s="2">
        <v>23382458</v>
      </c>
      <c r="D158" s="6" t="s">
        <v>881</v>
      </c>
      <c r="E158" s="2" t="s">
        <v>48</v>
      </c>
      <c r="F158" s="2">
        <v>2</v>
      </c>
      <c r="G158" s="2" t="s">
        <v>137</v>
      </c>
      <c r="H158" s="2" t="s">
        <v>125</v>
      </c>
      <c r="I158" s="16">
        <v>45854</v>
      </c>
      <c r="J158" s="16">
        <v>45945</v>
      </c>
      <c r="K158" s="42"/>
      <c r="L158" s="2" t="s">
        <v>595</v>
      </c>
      <c r="M158" s="2">
        <v>7011</v>
      </c>
      <c r="N158" s="17" t="s">
        <v>596</v>
      </c>
    </row>
    <row r="159" spans="1:15">
      <c r="B159" s="78"/>
      <c r="C159" s="78"/>
      <c r="D159" s="79"/>
    </row>
    <row r="160" spans="1:15">
      <c r="B160" s="78"/>
      <c r="C160" s="78"/>
      <c r="D160" s="79"/>
    </row>
    <row r="161" spans="2:4">
      <c r="B161" s="78"/>
      <c r="C161" s="78"/>
      <c r="D161" s="78"/>
    </row>
    <row r="162" spans="2:4">
      <c r="B162" s="78"/>
      <c r="C162" s="78"/>
      <c r="D162" s="79"/>
    </row>
    <row r="163" spans="2:4">
      <c r="B163" s="78"/>
      <c r="C163" s="78"/>
      <c r="D163" s="79"/>
    </row>
    <row r="164" spans="2:4">
      <c r="B164" s="78"/>
      <c r="C164" s="78"/>
      <c r="D164" s="79"/>
    </row>
    <row r="165" spans="2:4">
      <c r="B165" s="78"/>
    </row>
    <row r="166" spans="2:4">
      <c r="B166" s="78"/>
    </row>
    <row r="167" spans="2:4">
      <c r="B167" s="78"/>
      <c r="C167" s="78"/>
    </row>
    <row r="168" spans="2:4">
      <c r="B168" s="78"/>
      <c r="C168" s="78"/>
    </row>
    <row r="169" spans="2:4">
      <c r="B169" s="78"/>
      <c r="C169" s="78"/>
    </row>
    <row r="170" spans="2:4">
      <c r="B170" s="78"/>
      <c r="C170" s="78"/>
      <c r="D170" s="27"/>
    </row>
    <row r="171" spans="2:4">
      <c r="B171" s="78"/>
      <c r="C171" s="78"/>
      <c r="D171" s="27"/>
    </row>
    <row r="172" spans="2:4">
      <c r="B172" s="78"/>
      <c r="C172" s="78"/>
    </row>
    <row r="173" spans="2:4">
      <c r="B173" s="78"/>
      <c r="C173" s="78"/>
    </row>
    <row r="174" spans="2:4">
      <c r="B174" s="78"/>
      <c r="C174" s="78"/>
    </row>
    <row r="175" spans="2:4">
      <c r="B175" s="78"/>
      <c r="C175" s="78"/>
      <c r="D175" s="79"/>
    </row>
    <row r="176" spans="2:4">
      <c r="B176" s="78"/>
      <c r="C176" s="78"/>
      <c r="D176" s="79"/>
    </row>
    <row r="177" spans="2:11">
      <c r="B177" s="78"/>
      <c r="C177" s="78"/>
      <c r="D177" s="1"/>
    </row>
    <row r="178" spans="2:11">
      <c r="B178" s="78"/>
      <c r="C178" s="78"/>
      <c r="D178" s="1"/>
    </row>
    <row r="179" spans="2:11">
      <c r="B179" s="78"/>
      <c r="C179" s="78"/>
      <c r="D179" s="1"/>
    </row>
    <row r="180" spans="2:11">
      <c r="B180" s="78"/>
      <c r="C180" s="78"/>
      <c r="D180" s="1"/>
    </row>
    <row r="181" spans="2:11">
      <c r="B181" s="78"/>
      <c r="C181" s="78"/>
    </row>
    <row r="182" spans="2:11">
      <c r="B182" s="78"/>
      <c r="C182" s="78"/>
    </row>
    <row r="183" spans="2:11">
      <c r="B183" s="78"/>
      <c r="C183" s="78"/>
    </row>
    <row r="184" spans="2:11">
      <c r="B184" s="78"/>
      <c r="C184" s="78"/>
      <c r="D184" s="1"/>
      <c r="E184"/>
      <c r="F184"/>
      <c r="H184"/>
      <c r="I184"/>
      <c r="J184"/>
      <c r="K184" s="28"/>
    </row>
    <row r="185" spans="2:11">
      <c r="B185" s="78"/>
      <c r="C185" s="78"/>
      <c r="D185" s="1"/>
      <c r="E185"/>
      <c r="F185"/>
      <c r="H185"/>
      <c r="I185"/>
      <c r="J185"/>
      <c r="K185" s="28"/>
    </row>
    <row r="186" spans="2:11">
      <c r="B186" s="78"/>
      <c r="C186" s="78"/>
      <c r="D186" s="1"/>
      <c r="E186"/>
      <c r="F186"/>
      <c r="H186"/>
      <c r="I186"/>
      <c r="J186"/>
      <c r="K186" s="28"/>
    </row>
    <row r="187" spans="2:11">
      <c r="B187" s="78"/>
      <c r="D187" s="27"/>
    </row>
    <row r="188" spans="2:11">
      <c r="B188" s="78"/>
      <c r="D188" s="27"/>
    </row>
    <row r="189" spans="2:11">
      <c r="B189" s="78"/>
      <c r="D189" s="27"/>
    </row>
    <row r="190" spans="2:11">
      <c r="B190" s="78"/>
      <c r="C190" s="78"/>
      <c r="D190" s="27"/>
    </row>
    <row r="191" spans="2:11">
      <c r="B191" s="78"/>
      <c r="D191" s="27"/>
    </row>
    <row r="192" spans="2:11">
      <c r="B192" s="78"/>
      <c r="C192" s="78"/>
      <c r="D192" s="27"/>
    </row>
    <row r="193" spans="2:4">
      <c r="B193" s="78"/>
      <c r="C193" s="78"/>
    </row>
    <row r="194" spans="2:4">
      <c r="B194" s="78"/>
      <c r="C194" s="78"/>
      <c r="D194" s="78"/>
    </row>
    <row r="195" spans="2:4">
      <c r="B195" s="78"/>
    </row>
    <row r="196" spans="2:4">
      <c r="B196" s="78"/>
      <c r="C196" s="78"/>
      <c r="D196" s="79"/>
    </row>
    <row r="197" spans="2:4">
      <c r="B197" s="78"/>
      <c r="C197" s="78"/>
      <c r="D197" s="1"/>
    </row>
    <row r="198" spans="2:4">
      <c r="B198" s="78"/>
      <c r="C198" s="78"/>
      <c r="D198" s="1"/>
    </row>
    <row r="199" spans="2:4">
      <c r="B199" s="78"/>
      <c r="C199" s="78"/>
      <c r="D199" s="1"/>
    </row>
    <row r="200" spans="2:4">
      <c r="B200" s="78"/>
      <c r="C200" s="78"/>
      <c r="D200" s="1"/>
    </row>
    <row r="201" spans="2:4">
      <c r="B201" s="78"/>
      <c r="C201" s="78"/>
      <c r="D201" s="1"/>
    </row>
    <row r="202" spans="2:4">
      <c r="B202" s="78"/>
      <c r="C202" s="78"/>
    </row>
    <row r="203" spans="2:4">
      <c r="B203" s="78"/>
      <c r="C203" s="78"/>
    </row>
    <row r="204" spans="2:4">
      <c r="B204" s="78"/>
      <c r="C204" s="78"/>
    </row>
  </sheetData>
  <autoFilter ref="A1:O1" xr:uid="{00000000-0001-0000-0100-000000000000}">
    <sortState xmlns:xlrd2="http://schemas.microsoft.com/office/spreadsheetml/2017/richdata2" ref="A2:O156">
      <sortCondition ref="A1"/>
    </sortState>
  </autoFilter>
  <sortState xmlns:xlrd2="http://schemas.microsoft.com/office/spreadsheetml/2017/richdata2" ref="A1:N202">
    <sortCondition ref="A89:A126"/>
  </sortState>
  <phoneticPr fontId="32" type="noConversion"/>
  <hyperlinks>
    <hyperlink ref="N53" r:id="rId1" xr:uid="{00000000-0004-0000-0100-000001000000}"/>
    <hyperlink ref="N77" r:id="rId2" xr:uid="{00000000-0004-0000-0100-000005000000}"/>
    <hyperlink ref="N23" r:id="rId3" xr:uid="{00000000-0004-0000-0100-00000C000000}"/>
    <hyperlink ref="N54" r:id="rId4" xr:uid="{00000000-0004-0000-0100-000013000000}"/>
    <hyperlink ref="N55" r:id="rId5" xr:uid="{00000000-0004-0000-0100-000014000000}"/>
    <hyperlink ref="N18" r:id="rId6" xr:uid="{00000000-0004-0000-0100-000017000000}"/>
    <hyperlink ref="N79" r:id="rId7" xr:uid="{00000000-0004-0000-0100-00001A000000}"/>
    <hyperlink ref="N103" r:id="rId8" xr:uid="{00000000-0004-0000-0100-000033000000}"/>
    <hyperlink ref="N104" r:id="rId9" xr:uid="{00000000-0004-0000-0100-000034000000}"/>
    <hyperlink ref="N87" r:id="rId10" xr:uid="{00000000-0004-0000-0100-000036000000}"/>
    <hyperlink ref="N86" r:id="rId11" xr:uid="{00000000-0004-0000-0100-000037000000}"/>
    <hyperlink ref="N93" r:id="rId12" xr:uid="{00000000-0004-0000-0100-000039000000}"/>
    <hyperlink ref="N92" r:id="rId13" xr:uid="{00000000-0004-0000-0100-00003A000000}"/>
    <hyperlink ref="N139" r:id="rId14" xr:uid="{00000000-0004-0000-0100-00003D000000}"/>
    <hyperlink ref="N125" r:id="rId15" xr:uid="{00000000-0004-0000-0100-00003F000000}"/>
    <hyperlink ref="N99" r:id="rId16" xr:uid="{00000000-0004-0000-0100-000042000000}"/>
    <hyperlink ref="N149" r:id="rId17" xr:uid="{00000000-0004-0000-0100-00004B000000}"/>
    <hyperlink ref="N106" r:id="rId18" xr:uid="{00000000-0004-0000-0100-000050000000}"/>
    <hyperlink ref="N117" r:id="rId19" xr:uid="{00000000-0004-0000-0100-000055000000}"/>
    <hyperlink ref="N90" r:id="rId20" xr:uid="{00000000-0004-0000-0100-000056000000}"/>
    <hyperlink ref="N88" r:id="rId21" xr:uid="{00000000-0004-0000-0100-000057000000}"/>
    <hyperlink ref="N119" r:id="rId22" xr:uid="{00000000-0004-0000-0100-000059000000}"/>
    <hyperlink ref="N118" r:id="rId23" xr:uid="{00000000-0004-0000-0100-00005E000000}"/>
    <hyperlink ref="N120" r:id="rId24" xr:uid="{00000000-0004-0000-0100-000062000000}"/>
    <hyperlink ref="N31" r:id="rId25" xr:uid="{00000000-0004-0000-0100-000064000000}"/>
    <hyperlink ref="N78" r:id="rId26" xr:uid="{00000000-0004-0000-0100-00006B000000}"/>
    <hyperlink ref="N124" r:id="rId27" xr:uid="{00000000-0004-0000-0100-000075000000}"/>
    <hyperlink ref="N49" r:id="rId28" xr:uid="{00000000-0004-0000-0100-000077000000}"/>
    <hyperlink ref="N51" r:id="rId29" xr:uid="{00000000-0004-0000-0100-000078000000}"/>
    <hyperlink ref="N50" r:id="rId30" xr:uid="{00000000-0004-0000-0100-000079000000}"/>
    <hyperlink ref="N52" r:id="rId31" xr:uid="{00000000-0004-0000-0100-00007C000000}"/>
    <hyperlink ref="N72" r:id="rId32" xr:uid="{00000000-0004-0000-0100-00007D000000}"/>
    <hyperlink ref="N73" r:id="rId33" xr:uid="{00000000-0004-0000-0100-00007E000000}"/>
    <hyperlink ref="N74" r:id="rId34" xr:uid="{00000000-0004-0000-0100-00007F000000}"/>
    <hyperlink ref="N100" r:id="rId35" xr:uid="{00000000-0004-0000-0100-000080000000}"/>
    <hyperlink ref="N133" r:id="rId36" xr:uid="{00000000-0004-0000-0100-000081000000}"/>
    <hyperlink ref="N39" r:id="rId37" xr:uid="{00000000-0004-0000-0100-000084000000}"/>
    <hyperlink ref="N26" r:id="rId38" xr:uid="{00000000-0004-0000-0100-000087000000}"/>
    <hyperlink ref="N95" r:id="rId39" xr:uid="{00000000-0004-0000-0100-00008A000000}"/>
    <hyperlink ref="N64:N71" r:id="rId40" display="aarongo@fhcsd.org" xr:uid="{2E917F8E-C68C-48BB-B6EE-E8850EE4CA20}"/>
    <hyperlink ref="N60" r:id="rId41" xr:uid="{7C685C36-EF3C-47FE-AAC3-2E6CBE55EA2C}"/>
    <hyperlink ref="N89" r:id="rId42" xr:uid="{ADF97BD8-233A-44E1-91FF-D1FDE3094ECC}"/>
    <hyperlink ref="N58" r:id="rId43" xr:uid="{045B18B3-29F3-4423-A93F-4C6130020BAA}"/>
    <hyperlink ref="N59" r:id="rId44" xr:uid="{3AB830D7-1E05-4E10-8935-4DC431740F24}"/>
    <hyperlink ref="N27" r:id="rId45" xr:uid="{255B2C12-48D7-4979-8C1E-ACF7264F9B01}"/>
    <hyperlink ref="N28" r:id="rId46" xr:uid="{0F79A831-4527-4876-AE3F-8C28C04637FF}"/>
    <hyperlink ref="N29" r:id="rId47" xr:uid="{2B93F17C-F46D-44C0-8E09-73674D3B2323}"/>
    <hyperlink ref="N30" r:id="rId48" xr:uid="{AD1B4BCF-A418-4C0E-8B83-EE1AEEB963B2}"/>
    <hyperlink ref="N32" r:id="rId49" xr:uid="{DED1F1AD-63D0-4B64-9A0A-C41E45B31396}"/>
    <hyperlink ref="N71" r:id="rId50" xr:uid="{F639E39D-9F05-4D43-9237-6DCD8C931C21}"/>
    <hyperlink ref="N3" r:id="rId51" xr:uid="{76F3AAEF-9935-4886-B263-8F668C389E03}"/>
    <hyperlink ref="N94" r:id="rId52" xr:uid="{106CFAB5-86AA-4D9E-A493-5B08A9DF067F}"/>
    <hyperlink ref="N151" r:id="rId53" xr:uid="{0F8B2A81-D1F1-46C6-B6C2-2502353FB091}"/>
    <hyperlink ref="N150" r:id="rId54" xr:uid="{666922A0-B61C-4226-B025-D246F1EDE928}"/>
    <hyperlink ref="N141" r:id="rId55" xr:uid="{D2C22CE0-BDE8-4C99-AF73-F1E7C5D7B5BF}"/>
    <hyperlink ref="N2" r:id="rId56" xr:uid="{05597C54-9F08-4FFE-9650-EE40EBFA4024}"/>
    <hyperlink ref="N128" r:id="rId57" xr:uid="{E924D712-9508-46DC-8AF5-40005C9339A9}"/>
    <hyperlink ref="N158" r:id="rId58" xr:uid="{2596FD18-B3A8-4192-9BF3-613774F8141E}"/>
    <hyperlink ref="N121" r:id="rId59" xr:uid="{696D9853-5EED-4E81-9B4A-0A3CBDE97DC5}"/>
    <hyperlink ref="N42" r:id="rId60" xr:uid="{BF35BA5B-04FF-4946-9248-37258C5C4100}"/>
    <hyperlink ref="N43:N46" r:id="rId61" display="jocelyng@fhcsd.org " xr:uid="{40C4356E-68D8-49D9-AD2E-A73F343C11A6}"/>
    <hyperlink ref="N47:N48" r:id="rId62" display="jocelyng@fhcsd.org " xr:uid="{2743B6B4-9255-49CD-8293-DFFFF3D1026B}"/>
    <hyperlink ref="N20" r:id="rId63" xr:uid="{2AFBC574-2DEE-4B7D-A9BE-36CC1A1CF96F}"/>
    <hyperlink ref="N34" r:id="rId64" xr:uid="{646EAE1F-D62E-4A20-B610-F6EBD6B71E8F}"/>
    <hyperlink ref="N25" r:id="rId65" xr:uid="{EB0AC8A0-F3BC-467C-A774-5D4C07FE9D77}"/>
    <hyperlink ref="N24" r:id="rId66" xr:uid="{053BC9DA-C7ED-4779-8B25-ED45851F21A7}"/>
    <hyperlink ref="N114" r:id="rId67" xr:uid="{466365D0-3B22-49C0-8817-6D3A0BB1CFE7}"/>
    <hyperlink ref="N116" r:id="rId68" xr:uid="{D6ACB679-4557-472F-977D-EE525FB0B3CA}"/>
    <hyperlink ref="N153" r:id="rId69" xr:uid="{25DAD178-D467-47D0-8040-0FCC93898E42}"/>
    <hyperlink ref="N16" r:id="rId70" xr:uid="{688E7A43-6074-40EA-9BB4-45B5378F0B52}"/>
    <hyperlink ref="N17" r:id="rId71" xr:uid="{9A7F2AC7-E731-4CE1-AE4E-D35BA1FB3ACF}"/>
    <hyperlink ref="N108" r:id="rId72" xr:uid="{3009AE68-117B-489A-9C69-7B0C9F33809D}"/>
    <hyperlink ref="N111" r:id="rId73" xr:uid="{2A3B54E1-3C40-4BEA-8B9F-66A7446F3700}"/>
    <hyperlink ref="N112" r:id="rId74" xr:uid="{E0642E58-EDFA-4DFC-B245-10289A46561A}"/>
    <hyperlink ref="N91" r:id="rId75" xr:uid="{DB4C9A50-193B-4D16-AC2E-354FBADEE1BE}"/>
    <hyperlink ref="N107" r:id="rId76" xr:uid="{BECCAE2A-3BB8-4CC9-BAD6-2868CAAF236B}"/>
    <hyperlink ref="N38" r:id="rId77" xr:uid="{1FCA3076-88C1-4A6F-8F39-705BA66F2BAA}"/>
    <hyperlink ref="N148" r:id="rId78" xr:uid="{F045F0A1-8037-4CC5-A349-48CF3A29B19B}"/>
    <hyperlink ref="N147" r:id="rId79" xr:uid="{57CF3A6C-B430-42BC-B203-4FE051FE56E3}"/>
    <hyperlink ref="N146" r:id="rId80" xr:uid="{8D5F4316-BA63-46E9-AA63-D010467A9066}"/>
    <hyperlink ref="N152" r:id="rId81" xr:uid="{2FB807D6-CD0E-48CC-85F0-BE68E113A69D}"/>
    <hyperlink ref="N135" r:id="rId82" xr:uid="{AC634094-7BFF-42FE-88C0-871A3EAF52E1}"/>
    <hyperlink ref="N101" r:id="rId83" xr:uid="{93162EDE-0B16-4DB1-8EF8-ACC7F7AC4BEF}"/>
    <hyperlink ref="N102" r:id="rId84" xr:uid="{56ED5AB2-FD13-4557-801C-843A929C8A1A}"/>
    <hyperlink ref="N56" r:id="rId85" xr:uid="{EA57FEC4-2431-4818-89B6-2923C457E292}"/>
    <hyperlink ref="N57" r:id="rId86" xr:uid="{9C85641A-9C91-4F36-B2BA-F01C444F55B8}"/>
    <hyperlink ref="N130" r:id="rId87" xr:uid="{080928E9-8ED7-4140-945B-0F93DC2CC9E7}"/>
    <hyperlink ref="N129" r:id="rId88" xr:uid="{E9FE7A88-79A0-429C-8D74-5BBE1F0E0F91}"/>
    <hyperlink ref="N156" r:id="rId89" xr:uid="{9C9EFE2A-4940-4E4A-9E2A-BC6AC3CE82EA}"/>
    <hyperlink ref="N8" r:id="rId90" xr:uid="{D6F59FF8-7FAB-4A68-B4A3-335F78C29EF4}"/>
    <hyperlink ref="N122" r:id="rId91" xr:uid="{DFC3EB28-D99F-441A-98C9-0676B477DC3E}"/>
    <hyperlink ref="N123" r:id="rId92" xr:uid="{0FEDABBB-2ED3-40BE-B715-C14D0519F472}"/>
    <hyperlink ref="N62" r:id="rId93" xr:uid="{2429652B-8251-422A-A615-C7ED64B4B15A}"/>
    <hyperlink ref="N61" r:id="rId94" xr:uid="{1DA224C4-4C81-4A53-B86A-2BBFDBE865FE}"/>
    <hyperlink ref="N76" r:id="rId95" xr:uid="{D73E23EC-67CF-45E7-A821-A4675CDFCD13}"/>
    <hyperlink ref="O143" r:id="rId96" xr:uid="{73C3B9B2-7629-4E89-A48B-E1AFB678E493}"/>
    <hyperlink ref="N144" r:id="rId97" xr:uid="{5C74FE8A-F03B-4272-9920-81BE86AB8365}"/>
    <hyperlink ref="N6" r:id="rId98" xr:uid="{856B8B91-7108-4317-83C9-BAF052DED641}"/>
    <hyperlink ref="N97" r:id="rId99" xr:uid="{34584B74-AE25-4280-B9FE-EBDB29B7D80D}"/>
    <hyperlink ref="N140" r:id="rId100" xr:uid="{672FF447-4193-4DFF-9C0B-E71A8403D650}"/>
    <hyperlink ref="N19" r:id="rId101" xr:uid="{BE29C3F4-A071-41ED-9613-F6722AAE74FD}"/>
    <hyperlink ref="N36" r:id="rId102" xr:uid="{1AA2E989-2542-4785-B96F-66D300A3BC53}"/>
    <hyperlink ref="N37" r:id="rId103" xr:uid="{55FD4307-4EA3-417A-9036-075CA18E2B33}"/>
    <hyperlink ref="N157" r:id="rId104" xr:uid="{D8A6323C-08EA-414F-8933-F8DACD8BA94A}"/>
    <hyperlink ref="N5" r:id="rId105" xr:uid="{0E30E081-84D0-4C24-8FBD-B283B8AC37B8}"/>
    <hyperlink ref="N109" r:id="rId106" xr:uid="{4A73148D-67BD-4819-9A44-93150F966723}"/>
    <hyperlink ref="N110" r:id="rId107" xr:uid="{168DF2FF-FD03-46FE-A238-79B0E39527E2}"/>
    <hyperlink ref="N96" r:id="rId108" xr:uid="{B71A0051-E5DF-42A5-B9CF-41FDD94550F7}"/>
  </hyperlinks>
  <pageMargins left="0.7" right="0.7" top="0.75" bottom="0.75" header="0.3" footer="0.3"/>
  <pageSetup orientation="portrait" horizontalDpi="300" verticalDpi="300" r:id="rId10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D4:J201"/>
  <sheetViews>
    <sheetView topLeftCell="A175" zoomScale="90" zoomScaleNormal="90" workbookViewId="0">
      <selection activeCell="D202" sqref="D202"/>
    </sheetView>
  </sheetViews>
  <sheetFormatPr defaultRowHeight="14.5"/>
  <cols>
    <col min="1" max="1" width="10.453125" bestFit="1" customWidth="1"/>
    <col min="4" max="4" width="33.6328125" customWidth="1"/>
    <col min="5" max="5" width="15.453125" style="1" bestFit="1" customWidth="1"/>
    <col min="6" max="6" width="61" customWidth="1"/>
    <col min="7" max="7" width="20.90625" customWidth="1"/>
    <col min="8" max="8" width="32.36328125" customWidth="1"/>
  </cols>
  <sheetData>
    <row r="4" spans="4:10">
      <c r="D4" s="7" t="s">
        <v>253</v>
      </c>
      <c r="E4" s="7" t="s">
        <v>254</v>
      </c>
      <c r="G4" s="8"/>
      <c r="H4" s="9"/>
    </row>
    <row r="5" spans="4:10">
      <c r="D5" s="8" t="s">
        <v>255</v>
      </c>
      <c r="E5" s="32">
        <v>44745</v>
      </c>
      <c r="H5" s="9"/>
    </row>
    <row r="6" spans="4:10">
      <c r="D6" t="s">
        <v>256</v>
      </c>
      <c r="E6" s="32">
        <v>44754</v>
      </c>
      <c r="G6" s="8"/>
      <c r="H6" s="9"/>
    </row>
    <row r="7" spans="4:10">
      <c r="D7" t="s">
        <v>257</v>
      </c>
      <c r="E7" s="32">
        <v>44754</v>
      </c>
      <c r="H7" s="9"/>
    </row>
    <row r="8" spans="4:10">
      <c r="D8" t="s">
        <v>258</v>
      </c>
      <c r="E8" s="32">
        <v>44774</v>
      </c>
      <c r="F8" s="1"/>
      <c r="H8" s="9"/>
      <c r="I8" s="4"/>
      <c r="J8" s="1"/>
    </row>
    <row r="9" spans="4:10">
      <c r="D9" t="s">
        <v>259</v>
      </c>
      <c r="E9" s="32">
        <v>44785</v>
      </c>
      <c r="F9" s="1"/>
      <c r="H9" s="9"/>
      <c r="I9" s="4"/>
      <c r="J9" s="1"/>
    </row>
    <row r="10" spans="4:10">
      <c r="D10" t="s">
        <v>260</v>
      </c>
      <c r="E10" s="32">
        <v>44798</v>
      </c>
      <c r="H10" s="9"/>
    </row>
    <row r="11" spans="4:10">
      <c r="D11" t="s">
        <v>261</v>
      </c>
      <c r="E11" s="32">
        <v>44790</v>
      </c>
    </row>
    <row r="12" spans="4:10">
      <c r="D12" t="s">
        <v>262</v>
      </c>
      <c r="E12" s="32">
        <v>44903</v>
      </c>
    </row>
    <row r="13" spans="4:10">
      <c r="D13" t="s">
        <v>263</v>
      </c>
      <c r="E13" s="32">
        <v>44889</v>
      </c>
    </row>
    <row r="14" spans="4:10">
      <c r="D14" t="s">
        <v>264</v>
      </c>
      <c r="E14" s="32">
        <v>44897</v>
      </c>
    </row>
    <row r="15" spans="4:10">
      <c r="D15" t="s">
        <v>265</v>
      </c>
      <c r="E15" s="32">
        <v>44924</v>
      </c>
    </row>
    <row r="16" spans="4:10">
      <c r="D16" t="s">
        <v>266</v>
      </c>
      <c r="E16" s="32">
        <v>44911</v>
      </c>
    </row>
    <row r="17" spans="4:6">
      <c r="D17" t="s">
        <v>267</v>
      </c>
      <c r="E17" s="32">
        <v>44937</v>
      </c>
    </row>
    <row r="18" spans="4:6">
      <c r="D18" t="s">
        <v>268</v>
      </c>
      <c r="E18" s="32">
        <v>44938</v>
      </c>
    </row>
    <row r="19" spans="4:6">
      <c r="D19" t="s">
        <v>269</v>
      </c>
      <c r="E19" s="32">
        <v>44942</v>
      </c>
    </row>
    <row r="20" spans="4:6">
      <c r="D20" t="s">
        <v>270</v>
      </c>
      <c r="E20" s="32">
        <v>44943</v>
      </c>
    </row>
    <row r="21" spans="4:6">
      <c r="D21" t="s">
        <v>271</v>
      </c>
      <c r="E21" s="32"/>
    </row>
    <row r="22" spans="4:6">
      <c r="D22" t="s">
        <v>272</v>
      </c>
      <c r="E22" s="32">
        <v>44952</v>
      </c>
    </row>
    <row r="23" spans="4:6">
      <c r="D23" t="s">
        <v>273</v>
      </c>
      <c r="E23" s="32">
        <v>44964</v>
      </c>
    </row>
    <row r="24" spans="4:6">
      <c r="D24" t="s">
        <v>64</v>
      </c>
      <c r="E24" s="32">
        <v>44977</v>
      </c>
    </row>
    <row r="25" spans="4:6">
      <c r="D25" t="s">
        <v>274</v>
      </c>
      <c r="E25" s="32">
        <v>44980</v>
      </c>
    </row>
    <row r="26" spans="4:6">
      <c r="D26" t="s">
        <v>275</v>
      </c>
      <c r="E26" s="32">
        <v>44982</v>
      </c>
    </row>
    <row r="27" spans="4:6">
      <c r="D27" t="s">
        <v>201</v>
      </c>
      <c r="E27" s="32">
        <v>44996</v>
      </c>
    </row>
    <row r="28" spans="4:6">
      <c r="D28" t="s">
        <v>276</v>
      </c>
      <c r="E28" s="32">
        <v>45015</v>
      </c>
    </row>
    <row r="29" spans="4:6">
      <c r="D29" s="55" t="s">
        <v>277</v>
      </c>
      <c r="E29" s="32">
        <v>45000</v>
      </c>
    </row>
    <row r="30" spans="4:6">
      <c r="D30" t="s">
        <v>278</v>
      </c>
      <c r="E30" s="32">
        <v>45003</v>
      </c>
    </row>
    <row r="31" spans="4:6">
      <c r="D31" t="s">
        <v>169</v>
      </c>
      <c r="E31" s="32">
        <v>45009</v>
      </c>
    </row>
    <row r="32" spans="4:6">
      <c r="D32" s="126" t="s">
        <v>154</v>
      </c>
      <c r="E32" s="32">
        <v>45015</v>
      </c>
      <c r="F32" s="32"/>
    </row>
    <row r="33" spans="4:6">
      <c r="D33" t="s">
        <v>279</v>
      </c>
      <c r="E33" s="32">
        <v>45016</v>
      </c>
    </row>
    <row r="34" spans="4:6">
      <c r="D34" t="s">
        <v>274</v>
      </c>
      <c r="E34" s="32">
        <v>45023</v>
      </c>
    </row>
    <row r="35" spans="4:6">
      <c r="D35" t="s">
        <v>163</v>
      </c>
      <c r="E35" s="25">
        <v>45030</v>
      </c>
      <c r="F35" s="25"/>
    </row>
    <row r="36" spans="4:6">
      <c r="D36" t="s">
        <v>280</v>
      </c>
      <c r="E36" s="25">
        <v>45032</v>
      </c>
    </row>
    <row r="37" spans="4:6">
      <c r="D37" t="s">
        <v>281</v>
      </c>
      <c r="E37" s="25">
        <v>45033</v>
      </c>
    </row>
    <row r="38" spans="4:6">
      <c r="D38" t="s">
        <v>153</v>
      </c>
      <c r="E38" s="25">
        <v>45036</v>
      </c>
    </row>
    <row r="39" spans="4:6">
      <c r="D39" t="s">
        <v>72</v>
      </c>
      <c r="E39" s="25">
        <v>45041</v>
      </c>
    </row>
    <row r="40" spans="4:6">
      <c r="D40" t="s">
        <v>282</v>
      </c>
      <c r="E40" s="32">
        <v>45043</v>
      </c>
    </row>
    <row r="41" spans="4:6">
      <c r="D41" t="s">
        <v>283</v>
      </c>
      <c r="E41" s="32">
        <v>45043</v>
      </c>
    </row>
    <row r="42" spans="4:6">
      <c r="D42" t="s">
        <v>284</v>
      </c>
      <c r="E42" s="25">
        <v>45064</v>
      </c>
    </row>
    <row r="43" spans="4:6">
      <c r="D43" t="s">
        <v>285</v>
      </c>
      <c r="E43" s="32">
        <v>45077</v>
      </c>
      <c r="F43" s="32"/>
    </row>
    <row r="44" spans="4:6">
      <c r="D44" t="s">
        <v>286</v>
      </c>
      <c r="E44" s="32">
        <v>45099</v>
      </c>
    </row>
    <row r="45" spans="4:6">
      <c r="D45" t="s">
        <v>287</v>
      </c>
      <c r="E45" s="32">
        <v>45099</v>
      </c>
    </row>
    <row r="46" spans="4:6">
      <c r="D46" t="s">
        <v>288</v>
      </c>
      <c r="E46" s="32">
        <v>45136</v>
      </c>
      <c r="F46" t="s">
        <v>86</v>
      </c>
    </row>
    <row r="47" spans="4:6">
      <c r="D47" s="127" t="s">
        <v>289</v>
      </c>
      <c r="E47" s="128">
        <v>45110</v>
      </c>
      <c r="F47" s="129"/>
    </row>
    <row r="48" spans="4:6">
      <c r="D48" t="s">
        <v>290</v>
      </c>
      <c r="E48" s="32">
        <v>45120</v>
      </c>
    </row>
    <row r="49" spans="4:6">
      <c r="D49" t="s">
        <v>238</v>
      </c>
      <c r="E49" s="32">
        <v>45131</v>
      </c>
    </row>
    <row r="50" spans="4:6">
      <c r="D50" t="s">
        <v>291</v>
      </c>
      <c r="E50" s="32">
        <v>45132</v>
      </c>
    </row>
    <row r="51" spans="4:6">
      <c r="D51" t="s">
        <v>292</v>
      </c>
      <c r="E51" s="32">
        <v>45137</v>
      </c>
    </row>
    <row r="52" spans="4:6">
      <c r="D52" t="s">
        <v>221</v>
      </c>
      <c r="E52" s="32">
        <v>45161</v>
      </c>
    </row>
    <row r="53" spans="4:6">
      <c r="D53" t="s">
        <v>293</v>
      </c>
      <c r="E53" s="32">
        <v>45161</v>
      </c>
    </row>
    <row r="54" spans="4:6">
      <c r="D54" s="55" t="s">
        <v>152</v>
      </c>
      <c r="E54" s="32">
        <v>45162</v>
      </c>
      <c r="F54" s="130" t="s">
        <v>294</v>
      </c>
    </row>
    <row r="55" spans="4:6">
      <c r="D55" s="129" t="s">
        <v>281</v>
      </c>
      <c r="E55" s="32">
        <v>45164</v>
      </c>
      <c r="F55" s="127"/>
    </row>
    <row r="56" spans="4:6">
      <c r="D56" s="129" t="s">
        <v>295</v>
      </c>
      <c r="E56" s="32">
        <v>45166</v>
      </c>
      <c r="F56" s="127"/>
    </row>
    <row r="57" spans="4:6">
      <c r="D57" t="s">
        <v>296</v>
      </c>
      <c r="E57" s="32">
        <v>45180</v>
      </c>
    </row>
    <row r="58" spans="4:6">
      <c r="D58" t="s">
        <v>297</v>
      </c>
      <c r="E58" s="32">
        <v>45183</v>
      </c>
    </row>
    <row r="59" spans="4:6">
      <c r="D59" t="s">
        <v>298</v>
      </c>
      <c r="E59" s="32">
        <v>45188</v>
      </c>
    </row>
    <row r="60" spans="4:6">
      <c r="D60" t="s">
        <v>127</v>
      </c>
      <c r="E60" s="32">
        <v>45198</v>
      </c>
    </row>
    <row r="61" spans="4:6">
      <c r="D61" t="s">
        <v>299</v>
      </c>
      <c r="E61" s="32">
        <v>45202</v>
      </c>
      <c r="F61" t="s">
        <v>300</v>
      </c>
    </row>
    <row r="62" spans="4:6">
      <c r="D62" t="s">
        <v>301</v>
      </c>
      <c r="E62" s="32">
        <v>45203</v>
      </c>
    </row>
    <row r="63" spans="4:6">
      <c r="D63" t="s">
        <v>302</v>
      </c>
      <c r="E63" s="32">
        <v>45203</v>
      </c>
    </row>
    <row r="64" spans="4:6">
      <c r="D64" t="s">
        <v>303</v>
      </c>
      <c r="E64" s="32">
        <v>45207</v>
      </c>
      <c r="F64" t="s">
        <v>304</v>
      </c>
    </row>
    <row r="65" spans="4:7">
      <c r="D65" t="s">
        <v>196</v>
      </c>
      <c r="E65" s="32">
        <v>45204</v>
      </c>
    </row>
    <row r="66" spans="4:7">
      <c r="D66" t="s">
        <v>305</v>
      </c>
      <c r="E66" s="32">
        <v>45208</v>
      </c>
      <c r="F66" t="s">
        <v>306</v>
      </c>
    </row>
    <row r="67" spans="4:7">
      <c r="D67" t="s">
        <v>307</v>
      </c>
      <c r="E67" s="32">
        <v>45216</v>
      </c>
    </row>
    <row r="68" spans="4:7">
      <c r="D68" t="s">
        <v>308</v>
      </c>
      <c r="E68" s="32">
        <v>45231</v>
      </c>
    </row>
    <row r="69" spans="4:7">
      <c r="D69" t="s">
        <v>309</v>
      </c>
      <c r="E69" s="32">
        <v>45238</v>
      </c>
      <c r="F69" t="s">
        <v>310</v>
      </c>
    </row>
    <row r="70" spans="4:7">
      <c r="D70" t="s">
        <v>87</v>
      </c>
      <c r="E70" s="32">
        <v>45244</v>
      </c>
      <c r="F70" t="s">
        <v>311</v>
      </c>
    </row>
    <row r="71" spans="4:7">
      <c r="D71" t="s">
        <v>312</v>
      </c>
      <c r="E71" s="32">
        <v>45246</v>
      </c>
    </row>
    <row r="72" spans="4:7">
      <c r="D72" t="s">
        <v>208</v>
      </c>
      <c r="E72" s="32">
        <v>45250</v>
      </c>
      <c r="F72" s="32"/>
    </row>
    <row r="73" spans="4:7">
      <c r="D73" t="s">
        <v>313</v>
      </c>
      <c r="E73" s="32">
        <v>45259</v>
      </c>
    </row>
    <row r="74" spans="4:7">
      <c r="D74" t="s">
        <v>314</v>
      </c>
      <c r="E74" s="32">
        <v>45260</v>
      </c>
      <c r="F74" t="s">
        <v>315</v>
      </c>
    </row>
    <row r="75" spans="4:7">
      <c r="D75" t="s">
        <v>175</v>
      </c>
      <c r="E75" s="32">
        <v>45274</v>
      </c>
    </row>
    <row r="76" spans="4:7">
      <c r="D76" t="s">
        <v>301</v>
      </c>
      <c r="E76" s="32">
        <v>45274</v>
      </c>
    </row>
    <row r="77" spans="4:7">
      <c r="D77" t="s">
        <v>221</v>
      </c>
      <c r="E77" s="32">
        <v>45259</v>
      </c>
      <c r="F77" t="s">
        <v>86</v>
      </c>
    </row>
    <row r="78" spans="4:7">
      <c r="D78" t="s">
        <v>234</v>
      </c>
      <c r="E78" s="32">
        <v>45281</v>
      </c>
      <c r="F78" t="s">
        <v>316</v>
      </c>
    </row>
    <row r="79" spans="4:7">
      <c r="D79" t="s">
        <v>317</v>
      </c>
      <c r="E79" s="32">
        <v>45288</v>
      </c>
      <c r="F79" t="s">
        <v>316</v>
      </c>
      <c r="G79" t="s">
        <v>318</v>
      </c>
    </row>
    <row r="80" spans="4:7">
      <c r="D80" t="s">
        <v>319</v>
      </c>
      <c r="E80" s="32">
        <v>45291</v>
      </c>
    </row>
    <row r="81" spans="4:7">
      <c r="D81" t="s">
        <v>299</v>
      </c>
      <c r="E81" s="32">
        <v>45293</v>
      </c>
    </row>
    <row r="82" spans="4:7">
      <c r="D82" t="s">
        <v>303</v>
      </c>
      <c r="E82" s="32">
        <v>45299</v>
      </c>
      <c r="F82" t="s">
        <v>320</v>
      </c>
    </row>
    <row r="83" spans="4:7">
      <c r="D83" t="s">
        <v>321</v>
      </c>
      <c r="E83" s="32">
        <v>45303</v>
      </c>
      <c r="F83" t="s">
        <v>322</v>
      </c>
    </row>
    <row r="84" spans="4:7">
      <c r="D84" t="s">
        <v>323</v>
      </c>
      <c r="E84" s="32">
        <v>45303</v>
      </c>
    </row>
    <row r="85" spans="4:7">
      <c r="D85" t="s">
        <v>238</v>
      </c>
      <c r="E85" s="32">
        <v>45310</v>
      </c>
      <c r="F85" t="s">
        <v>324</v>
      </c>
    </row>
    <row r="86" spans="4:7">
      <c r="D86" t="s">
        <v>325</v>
      </c>
      <c r="E86" s="32">
        <v>45311</v>
      </c>
    </row>
    <row r="87" spans="4:7">
      <c r="D87" t="s">
        <v>163</v>
      </c>
      <c r="E87" s="32">
        <v>45314</v>
      </c>
      <c r="F87" t="s">
        <v>326</v>
      </c>
    </row>
    <row r="88" spans="4:7">
      <c r="D88" t="s">
        <v>327</v>
      </c>
      <c r="E88" s="32">
        <v>45316</v>
      </c>
      <c r="F88" t="s">
        <v>328</v>
      </c>
    </row>
    <row r="89" spans="4:7">
      <c r="D89" t="s">
        <v>194</v>
      </c>
      <c r="E89" s="32">
        <v>45322</v>
      </c>
      <c r="F89" t="s">
        <v>316</v>
      </c>
    </row>
    <row r="90" spans="4:7">
      <c r="D90" s="131" t="s">
        <v>197</v>
      </c>
      <c r="E90" s="132">
        <v>45330</v>
      </c>
      <c r="F90" t="s">
        <v>316</v>
      </c>
      <c r="G90" s="121" t="s">
        <v>329</v>
      </c>
    </row>
    <row r="91" spans="4:7">
      <c r="D91" s="131" t="s">
        <v>330</v>
      </c>
      <c r="E91" s="132">
        <v>45336</v>
      </c>
      <c r="G91" s="70"/>
    </row>
    <row r="92" spans="4:7">
      <c r="D92" t="s">
        <v>331</v>
      </c>
      <c r="E92" s="32">
        <v>45337</v>
      </c>
      <c r="F92" s="32"/>
      <c r="G92" s="70"/>
    </row>
    <row r="93" spans="4:7">
      <c r="D93" t="s">
        <v>332</v>
      </c>
      <c r="E93" s="32">
        <v>44613</v>
      </c>
    </row>
    <row r="94" spans="4:7">
      <c r="D94" t="s">
        <v>166</v>
      </c>
      <c r="E94" s="32">
        <v>45344</v>
      </c>
      <c r="F94" s="32"/>
    </row>
    <row r="95" spans="4:7">
      <c r="D95" t="s">
        <v>333</v>
      </c>
      <c r="E95" s="32">
        <v>45345</v>
      </c>
      <c r="F95" s="32"/>
    </row>
    <row r="96" spans="4:7">
      <c r="D96" t="s">
        <v>334</v>
      </c>
      <c r="E96" s="32">
        <v>45345</v>
      </c>
      <c r="F96" s="32"/>
    </row>
    <row r="97" spans="4:6">
      <c r="D97" t="s">
        <v>169</v>
      </c>
      <c r="E97" s="32">
        <v>45354</v>
      </c>
      <c r="F97" s="32"/>
    </row>
    <row r="98" spans="4:6" s="32" customFormat="1">
      <c r="D98" s="133" t="s">
        <v>335</v>
      </c>
      <c r="E98" s="32">
        <v>45356</v>
      </c>
      <c r="F98" s="32" t="s">
        <v>326</v>
      </c>
    </row>
    <row r="99" spans="4:6">
      <c r="D99" t="s">
        <v>336</v>
      </c>
      <c r="E99" s="134">
        <v>45378</v>
      </c>
    </row>
    <row r="100" spans="4:6">
      <c r="D100" t="s">
        <v>299</v>
      </c>
      <c r="E100" s="32">
        <v>45386</v>
      </c>
      <c r="F100" t="s">
        <v>337</v>
      </c>
    </row>
    <row r="101" spans="4:6">
      <c r="D101" t="s">
        <v>338</v>
      </c>
      <c r="E101" s="32">
        <v>45397</v>
      </c>
      <c r="F101" t="s">
        <v>326</v>
      </c>
    </row>
    <row r="102" spans="4:6">
      <c r="D102" t="s">
        <v>339</v>
      </c>
      <c r="E102" s="32">
        <v>45399</v>
      </c>
      <c r="F102" t="s">
        <v>326</v>
      </c>
    </row>
    <row r="103" spans="4:6">
      <c r="D103" t="s">
        <v>340</v>
      </c>
      <c r="E103" s="32">
        <v>45415</v>
      </c>
      <c r="F103" s="32"/>
    </row>
    <row r="104" spans="4:6">
      <c r="D104" t="s">
        <v>341</v>
      </c>
      <c r="E104" s="25">
        <v>45415</v>
      </c>
      <c r="F104" s="25"/>
    </row>
    <row r="105" spans="4:6">
      <c r="D105" s="76" t="s">
        <v>250</v>
      </c>
      <c r="E105" s="135">
        <v>45421</v>
      </c>
      <c r="F105" s="135"/>
    </row>
    <row r="106" spans="4:6">
      <c r="D106" s="76" t="s">
        <v>154</v>
      </c>
      <c r="E106" s="135">
        <v>45434</v>
      </c>
      <c r="F106" s="135"/>
    </row>
    <row r="107" spans="4:6">
      <c r="D107" t="s">
        <v>342</v>
      </c>
      <c r="E107" s="32">
        <v>45440</v>
      </c>
      <c r="F107" t="s">
        <v>343</v>
      </c>
    </row>
    <row r="108" spans="4:6">
      <c r="D108" t="s">
        <v>344</v>
      </c>
      <c r="E108" s="32">
        <v>45440</v>
      </c>
    </row>
    <row r="109" spans="4:6">
      <c r="D109" t="s">
        <v>345</v>
      </c>
      <c r="E109" s="32">
        <v>45443</v>
      </c>
    </row>
    <row r="110" spans="4:6">
      <c r="D110" t="s">
        <v>346</v>
      </c>
      <c r="E110" s="32">
        <v>45443</v>
      </c>
      <c r="F110" t="s">
        <v>315</v>
      </c>
    </row>
    <row r="111" spans="4:6">
      <c r="D111" t="s">
        <v>347</v>
      </c>
      <c r="E111" s="25">
        <v>45447</v>
      </c>
    </row>
    <row r="112" spans="4:6">
      <c r="D112" t="s">
        <v>348</v>
      </c>
      <c r="E112" s="32">
        <v>45456</v>
      </c>
    </row>
    <row r="113" spans="4:6">
      <c r="D113" t="s">
        <v>349</v>
      </c>
      <c r="E113" s="32">
        <v>45456</v>
      </c>
      <c r="F113" t="s">
        <v>350</v>
      </c>
    </row>
    <row r="114" spans="4:6">
      <c r="D114" t="s">
        <v>351</v>
      </c>
      <c r="E114" s="32">
        <v>45459</v>
      </c>
      <c r="F114" t="s">
        <v>337</v>
      </c>
    </row>
    <row r="115" spans="4:6">
      <c r="D115" t="s">
        <v>33</v>
      </c>
      <c r="E115" s="32">
        <v>45471</v>
      </c>
      <c r="F115" t="s">
        <v>352</v>
      </c>
    </row>
    <row r="116" spans="4:6">
      <c r="D116" t="s">
        <v>347</v>
      </c>
      <c r="E116" s="32">
        <v>45473</v>
      </c>
    </row>
    <row r="117" spans="4:6">
      <c r="D117" t="s">
        <v>353</v>
      </c>
      <c r="E117" s="32">
        <v>45492</v>
      </c>
      <c r="F117" t="s">
        <v>354</v>
      </c>
    </row>
    <row r="118" spans="4:6">
      <c r="D118" t="s">
        <v>201</v>
      </c>
      <c r="E118" s="32">
        <v>45495</v>
      </c>
      <c r="F118" t="s">
        <v>355</v>
      </c>
    </row>
    <row r="119" spans="4:6">
      <c r="D119" t="s">
        <v>356</v>
      </c>
      <c r="E119" s="32">
        <v>45495</v>
      </c>
      <c r="F119" t="s">
        <v>357</v>
      </c>
    </row>
    <row r="120" spans="4:6">
      <c r="D120" t="s">
        <v>358</v>
      </c>
      <c r="E120" s="9">
        <v>45492</v>
      </c>
    </row>
    <row r="121" spans="4:6">
      <c r="D121" t="s">
        <v>359</v>
      </c>
    </row>
    <row r="122" spans="4:6">
      <c r="D122" t="s">
        <v>360</v>
      </c>
      <c r="E122" s="32">
        <v>45504</v>
      </c>
      <c r="F122" t="s">
        <v>233</v>
      </c>
    </row>
    <row r="123" spans="4:6">
      <c r="D123" t="s">
        <v>361</v>
      </c>
      <c r="E123" s="32">
        <v>45505</v>
      </c>
      <c r="F123" s="32"/>
    </row>
    <row r="124" spans="4:6">
      <c r="D124" t="s">
        <v>107</v>
      </c>
      <c r="E124" s="32">
        <v>45505</v>
      </c>
      <c r="F124" s="32"/>
    </row>
    <row r="125" spans="4:6">
      <c r="D125" t="s">
        <v>362</v>
      </c>
      <c r="E125" s="136">
        <v>45516</v>
      </c>
    </row>
    <row r="126" spans="4:6">
      <c r="D126" t="s">
        <v>363</v>
      </c>
      <c r="E126" s="32">
        <v>45524</v>
      </c>
      <c r="F126" t="s">
        <v>337</v>
      </c>
    </row>
    <row r="127" spans="4:6">
      <c r="D127" t="s">
        <v>364</v>
      </c>
      <c r="E127" s="32">
        <v>45539</v>
      </c>
      <c r="F127" t="s">
        <v>365</v>
      </c>
    </row>
    <row r="128" spans="4:6">
      <c r="D128" t="s">
        <v>366</v>
      </c>
      <c r="E128" s="32">
        <v>45550</v>
      </c>
      <c r="F128" t="s">
        <v>367</v>
      </c>
    </row>
    <row r="129" spans="4:6">
      <c r="D129" t="s">
        <v>368</v>
      </c>
      <c r="E129" s="32">
        <v>45565</v>
      </c>
    </row>
    <row r="130" spans="4:6">
      <c r="D130" t="s">
        <v>369</v>
      </c>
      <c r="E130" s="32">
        <v>45570</v>
      </c>
    </row>
    <row r="131" spans="4:6">
      <c r="D131" t="s">
        <v>312</v>
      </c>
      <c r="E131" s="32">
        <v>45572</v>
      </c>
      <c r="F131" t="s">
        <v>370</v>
      </c>
    </row>
    <row r="132" spans="4:6">
      <c r="D132" t="s">
        <v>69</v>
      </c>
      <c r="E132" s="25">
        <v>45576</v>
      </c>
    </row>
    <row r="133" spans="4:6">
      <c r="D133" t="s">
        <v>208</v>
      </c>
      <c r="E133" s="32">
        <v>45568</v>
      </c>
    </row>
    <row r="134" spans="4:6">
      <c r="D134" t="s">
        <v>369</v>
      </c>
      <c r="E134" s="32">
        <v>45570</v>
      </c>
    </row>
    <row r="135" spans="4:6">
      <c r="D135" t="s">
        <v>371</v>
      </c>
      <c r="E135" s="32">
        <v>45578</v>
      </c>
    </row>
    <row r="136" spans="4:6">
      <c r="D136" t="s">
        <v>587</v>
      </c>
      <c r="E136" s="32">
        <v>45639</v>
      </c>
    </row>
    <row r="137" spans="4:6">
      <c r="D137" t="s">
        <v>585</v>
      </c>
      <c r="E137" s="32">
        <v>45644</v>
      </c>
      <c r="F137" t="s">
        <v>337</v>
      </c>
    </row>
    <row r="138" spans="4:6">
      <c r="D138" t="s">
        <v>609</v>
      </c>
      <c r="E138" s="32">
        <v>45652</v>
      </c>
    </row>
    <row r="139" spans="4:6">
      <c r="D139" t="s">
        <v>599</v>
      </c>
      <c r="E139" s="32">
        <v>45658</v>
      </c>
    </row>
    <row r="140" spans="4:6">
      <c r="D140" t="s">
        <v>78</v>
      </c>
      <c r="E140" s="32">
        <v>45660</v>
      </c>
    </row>
    <row r="141" spans="4:6">
      <c r="D141" t="s">
        <v>163</v>
      </c>
      <c r="E141" s="32">
        <v>45671</v>
      </c>
    </row>
    <row r="142" spans="4:6">
      <c r="D142" t="s">
        <v>41</v>
      </c>
      <c r="E142" s="32">
        <v>45684</v>
      </c>
      <c r="F142" t="s">
        <v>337</v>
      </c>
    </row>
    <row r="143" spans="4:6">
      <c r="D143" t="s">
        <v>221</v>
      </c>
      <c r="E143" s="32">
        <v>45688</v>
      </c>
      <c r="F143" t="s">
        <v>630</v>
      </c>
    </row>
    <row r="144" spans="4:6">
      <c r="D144" t="s">
        <v>88</v>
      </c>
      <c r="E144" s="32">
        <v>45692</v>
      </c>
      <c r="F144" t="s">
        <v>628</v>
      </c>
    </row>
    <row r="145" spans="4:6">
      <c r="D145" t="s">
        <v>519</v>
      </c>
      <c r="E145" s="32">
        <v>45692</v>
      </c>
    </row>
    <row r="146" spans="4:6">
      <c r="D146" t="s">
        <v>60</v>
      </c>
      <c r="E146" s="32">
        <v>45695</v>
      </c>
    </row>
    <row r="147" spans="4:6">
      <c r="D147" t="s">
        <v>623</v>
      </c>
      <c r="E147" s="32">
        <v>45699</v>
      </c>
      <c r="F147" t="s">
        <v>304</v>
      </c>
    </row>
    <row r="148" spans="4:6">
      <c r="D148" s="115" t="s">
        <v>72</v>
      </c>
      <c r="F148" t="s">
        <v>639</v>
      </c>
    </row>
    <row r="149" spans="4:6">
      <c r="D149" s="115" t="s">
        <v>620</v>
      </c>
      <c r="E149" s="32">
        <v>45700</v>
      </c>
      <c r="F149" t="s">
        <v>643</v>
      </c>
    </row>
    <row r="150" spans="4:6">
      <c r="D150" s="115" t="s">
        <v>671</v>
      </c>
      <c r="E150" s="32">
        <v>45706</v>
      </c>
      <c r="F150" t="s">
        <v>621</v>
      </c>
    </row>
    <row r="151" spans="4:6">
      <c r="D151" t="s">
        <v>624</v>
      </c>
      <c r="E151" s="32">
        <v>45707</v>
      </c>
    </row>
    <row r="152" spans="4:6">
      <c r="D152" t="s">
        <v>176</v>
      </c>
      <c r="E152" s="32">
        <v>45721</v>
      </c>
      <c r="F152" s="1" t="s">
        <v>660</v>
      </c>
    </row>
    <row r="153" spans="4:6">
      <c r="D153" t="s">
        <v>657</v>
      </c>
      <c r="E153" s="32">
        <v>45721</v>
      </c>
    </row>
    <row r="154" spans="4:6">
      <c r="D154" t="s">
        <v>653</v>
      </c>
      <c r="E154" s="32">
        <v>45722</v>
      </c>
      <c r="F154" t="s">
        <v>661</v>
      </c>
    </row>
    <row r="155" spans="4:6">
      <c r="D155" t="s">
        <v>216</v>
      </c>
      <c r="E155" s="32">
        <v>45728</v>
      </c>
      <c r="F155" s="8"/>
    </row>
    <row r="156" spans="4:6">
      <c r="D156" t="s">
        <v>152</v>
      </c>
      <c r="E156" s="32">
        <v>45736</v>
      </c>
      <c r="F156" s="150" t="s">
        <v>668</v>
      </c>
    </row>
    <row r="157" spans="4:6">
      <c r="D157" t="s">
        <v>296</v>
      </c>
      <c r="E157" s="32">
        <v>45737</v>
      </c>
      <c r="F157" s="150" t="s">
        <v>669</v>
      </c>
    </row>
    <row r="158" spans="4:6">
      <c r="D158" t="s">
        <v>336</v>
      </c>
      <c r="E158" s="32">
        <v>45740</v>
      </c>
      <c r="F158" t="s">
        <v>672</v>
      </c>
    </row>
    <row r="159" spans="4:6">
      <c r="D159" t="s">
        <v>64</v>
      </c>
      <c r="E159" s="32">
        <v>45728</v>
      </c>
      <c r="F159" t="s">
        <v>337</v>
      </c>
    </row>
    <row r="160" spans="4:6">
      <c r="D160" t="s">
        <v>648</v>
      </c>
      <c r="E160" s="32">
        <v>45769</v>
      </c>
      <c r="F160" t="s">
        <v>785</v>
      </c>
    </row>
    <row r="161" spans="4:6">
      <c r="D161" t="s">
        <v>239</v>
      </c>
      <c r="E161" s="32">
        <v>45772</v>
      </c>
      <c r="F161" t="s">
        <v>784</v>
      </c>
    </row>
    <row r="162" spans="4:6">
      <c r="D162" t="s">
        <v>786</v>
      </c>
      <c r="E162" s="32">
        <v>45774</v>
      </c>
    </row>
    <row r="163" spans="4:6">
      <c r="D163" t="s">
        <v>787</v>
      </c>
      <c r="E163" s="32">
        <v>45777</v>
      </c>
    </row>
    <row r="164" spans="4:6">
      <c r="D164" t="s">
        <v>788</v>
      </c>
      <c r="E164" s="32">
        <v>45777</v>
      </c>
    </row>
    <row r="165" spans="4:6">
      <c r="D165" t="s">
        <v>805</v>
      </c>
      <c r="E165" s="32">
        <v>45754</v>
      </c>
      <c r="F165" t="s">
        <v>806</v>
      </c>
    </row>
    <row r="166" spans="4:6">
      <c r="D166" t="s">
        <v>803</v>
      </c>
      <c r="E166" s="32">
        <v>45785</v>
      </c>
      <c r="F166" t="s">
        <v>804</v>
      </c>
    </row>
    <row r="167" spans="4:6">
      <c r="D167" t="s">
        <v>658</v>
      </c>
      <c r="E167" s="32">
        <v>45785</v>
      </c>
      <c r="F167" t="s">
        <v>824</v>
      </c>
    </row>
    <row r="168" spans="4:6">
      <c r="D168" t="s">
        <v>826</v>
      </c>
      <c r="E168" s="32">
        <v>45797</v>
      </c>
      <c r="F168" t="s">
        <v>827</v>
      </c>
    </row>
    <row r="169" spans="4:6">
      <c r="D169" t="s">
        <v>841</v>
      </c>
      <c r="E169" s="32">
        <v>45815</v>
      </c>
      <c r="F169" t="s">
        <v>843</v>
      </c>
    </row>
    <row r="170" spans="4:6">
      <c r="D170" t="s">
        <v>21</v>
      </c>
      <c r="E170" s="32">
        <v>45811</v>
      </c>
      <c r="F170" t="s">
        <v>842</v>
      </c>
    </row>
    <row r="171" spans="4:6">
      <c r="D171" t="s">
        <v>667</v>
      </c>
      <c r="E171" s="32">
        <v>45812</v>
      </c>
      <c r="F171" t="s">
        <v>844</v>
      </c>
    </row>
    <row r="172" spans="4:6">
      <c r="D172" t="s">
        <v>845</v>
      </c>
      <c r="E172" s="32">
        <v>45813</v>
      </c>
      <c r="F172" t="s">
        <v>846</v>
      </c>
    </row>
    <row r="173" spans="4:6">
      <c r="D173" t="s">
        <v>512</v>
      </c>
      <c r="E173" s="32">
        <v>45828</v>
      </c>
      <c r="F173" t="s">
        <v>859</v>
      </c>
    </row>
    <row r="174" spans="4:6">
      <c r="D174" t="s">
        <v>830</v>
      </c>
      <c r="E174" s="32">
        <v>45832</v>
      </c>
      <c r="F174" t="s">
        <v>866</v>
      </c>
    </row>
    <row r="175" spans="4:6">
      <c r="D175" t="s">
        <v>686</v>
      </c>
      <c r="E175" s="32">
        <v>45840</v>
      </c>
      <c r="F175" t="s">
        <v>879</v>
      </c>
    </row>
    <row r="176" spans="4:6">
      <c r="D176" t="s">
        <v>620</v>
      </c>
      <c r="E176" s="32">
        <v>45847</v>
      </c>
      <c r="F176" t="s">
        <v>880</v>
      </c>
    </row>
    <row r="177" spans="4:6">
      <c r="D177" t="s">
        <v>35</v>
      </c>
      <c r="E177" s="32">
        <v>45852</v>
      </c>
      <c r="F177" t="s">
        <v>882</v>
      </c>
    </row>
    <row r="178" spans="4:6">
      <c r="D178" t="s">
        <v>905</v>
      </c>
      <c r="E178" s="32">
        <v>45862</v>
      </c>
      <c r="F178" t="s">
        <v>896</v>
      </c>
    </row>
    <row r="179" spans="4:6">
      <c r="D179" t="s">
        <v>904</v>
      </c>
      <c r="E179" s="32">
        <v>45881</v>
      </c>
      <c r="F179" t="s">
        <v>914</v>
      </c>
    </row>
    <row r="180" spans="4:6">
      <c r="D180" t="s">
        <v>226</v>
      </c>
      <c r="E180" s="32">
        <v>45894</v>
      </c>
      <c r="F180" t="s">
        <v>928</v>
      </c>
    </row>
    <row r="181" spans="4:6">
      <c r="D181" t="s">
        <v>929</v>
      </c>
      <c r="E181" s="32">
        <v>45889</v>
      </c>
      <c r="F181" t="s">
        <v>930</v>
      </c>
    </row>
    <row r="182" spans="4:6">
      <c r="D182" s="3" t="s">
        <v>872</v>
      </c>
      <c r="E182" s="32">
        <v>45895</v>
      </c>
      <c r="F182" t="s">
        <v>933</v>
      </c>
    </row>
    <row r="183" spans="4:6">
      <c r="D183" t="s">
        <v>947</v>
      </c>
      <c r="E183" s="32">
        <v>45882</v>
      </c>
      <c r="F183" t="s">
        <v>934</v>
      </c>
    </row>
    <row r="184" spans="4:6">
      <c r="D184" t="s">
        <v>922</v>
      </c>
      <c r="E184" s="32">
        <v>45899</v>
      </c>
      <c r="F184" t="s">
        <v>948</v>
      </c>
    </row>
    <row r="185" spans="4:6">
      <c r="D185" t="s">
        <v>153</v>
      </c>
      <c r="E185" s="32">
        <v>45909</v>
      </c>
      <c r="F185" t="s">
        <v>948</v>
      </c>
    </row>
    <row r="186" spans="4:6">
      <c r="D186" t="s">
        <v>81</v>
      </c>
      <c r="E186" s="32">
        <v>45909</v>
      </c>
      <c r="F186" t="s">
        <v>948</v>
      </c>
    </row>
    <row r="187" spans="4:6">
      <c r="D187" t="s">
        <v>977</v>
      </c>
      <c r="E187" s="32">
        <v>45923</v>
      </c>
      <c r="F187" t="s">
        <v>978</v>
      </c>
    </row>
    <row r="188" spans="4:6">
      <c r="D188" t="s">
        <v>981</v>
      </c>
      <c r="E188" s="32">
        <v>45925</v>
      </c>
      <c r="F188" t="s">
        <v>980</v>
      </c>
    </row>
    <row r="189" spans="4:6">
      <c r="D189" t="s">
        <v>989</v>
      </c>
      <c r="E189" s="32">
        <v>45931</v>
      </c>
      <c r="F189" t="s">
        <v>990</v>
      </c>
    </row>
    <row r="190" spans="4:6">
      <c r="D190" t="s">
        <v>118</v>
      </c>
      <c r="E190" s="32">
        <v>45938</v>
      </c>
      <c r="F190" t="s">
        <v>1003</v>
      </c>
    </row>
    <row r="191" spans="4:6">
      <c r="D191" t="s">
        <v>1027</v>
      </c>
      <c r="E191" s="32">
        <v>45959</v>
      </c>
      <c r="F191" t="s">
        <v>1028</v>
      </c>
    </row>
    <row r="192" spans="4:6">
      <c r="D192" t="s">
        <v>1029</v>
      </c>
      <c r="E192" s="32">
        <v>45961</v>
      </c>
      <c r="F192" t="s">
        <v>1030</v>
      </c>
    </row>
    <row r="193" spans="4:6">
      <c r="D193" t="s">
        <v>694</v>
      </c>
      <c r="E193" s="32">
        <v>45965</v>
      </c>
      <c r="F193" t="s">
        <v>930</v>
      </c>
    </row>
    <row r="194" spans="4:6">
      <c r="D194" t="s">
        <v>228</v>
      </c>
      <c r="E194" s="32">
        <v>45961</v>
      </c>
      <c r="F194" t="s">
        <v>1032</v>
      </c>
    </row>
    <row r="195" spans="4:6">
      <c r="D195" t="s">
        <v>238</v>
      </c>
      <c r="E195" s="32">
        <v>45971</v>
      </c>
      <c r="F195" t="s">
        <v>1036</v>
      </c>
    </row>
    <row r="196" spans="4:6">
      <c r="D196" s="280" t="s">
        <v>1024</v>
      </c>
      <c r="E196" s="32">
        <v>45994</v>
      </c>
      <c r="F196" t="s">
        <v>1028</v>
      </c>
    </row>
    <row r="197" spans="4:6">
      <c r="D197" t="s">
        <v>375</v>
      </c>
      <c r="E197" s="32">
        <v>45995</v>
      </c>
      <c r="F197" t="s">
        <v>1073</v>
      </c>
    </row>
    <row r="198" spans="4:6">
      <c r="D198" t="s">
        <v>1085</v>
      </c>
      <c r="F198" t="s">
        <v>1088</v>
      </c>
    </row>
    <row r="199" spans="4:6">
      <c r="D199" t="s">
        <v>1086</v>
      </c>
      <c r="F199" t="s">
        <v>1087</v>
      </c>
    </row>
    <row r="200" spans="4:6">
      <c r="D200" s="333" t="s">
        <v>1076</v>
      </c>
      <c r="E200" s="32">
        <v>46022</v>
      </c>
    </row>
    <row r="201" spans="4:6">
      <c r="D201" s="333" t="s">
        <v>1115</v>
      </c>
      <c r="E201" s="32">
        <v>46023</v>
      </c>
    </row>
  </sheetData>
  <conditionalFormatting sqref="D147">
    <cfRule type="duplicateValues" dxfId="30" priority="8"/>
  </conditionalFormatting>
  <conditionalFormatting sqref="D155:D173 D175:D181 D183:D195 D197:D199">
    <cfRule type="duplicateValues" dxfId="29" priority="34"/>
  </conditionalFormatting>
  <conditionalFormatting sqref="D200">
    <cfRule type="duplicateValues" dxfId="28" priority="5"/>
    <cfRule type="duplicateValues" dxfId="27" priority="6"/>
  </conditionalFormatting>
  <conditionalFormatting sqref="D201">
    <cfRule type="duplicateValues" dxfId="26" priority="1"/>
    <cfRule type="duplicateValues" dxfId="25" priority="2"/>
    <cfRule type="duplicateValues" dxfId="24" priority="3"/>
    <cfRule type="duplicateValues" dxfId="23" priority="4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V100"/>
  <sheetViews>
    <sheetView tabSelected="1" topLeftCell="A25" zoomScaleNormal="100" workbookViewId="0">
      <selection activeCell="L1" sqref="I1:L1"/>
    </sheetView>
  </sheetViews>
  <sheetFormatPr defaultRowHeight="14.5"/>
  <cols>
    <col min="1" max="1" width="29.54296875" customWidth="1"/>
    <col min="2" max="2" width="16.90625" style="1" customWidth="1"/>
    <col min="3" max="3" width="17.36328125" style="1" customWidth="1"/>
    <col min="4" max="4" width="33" style="1" customWidth="1"/>
    <col min="5" max="5" width="10.453125" customWidth="1"/>
    <col min="6" max="6" width="6.36328125" customWidth="1"/>
    <col min="7" max="7" width="6.08984375" customWidth="1"/>
    <col min="8" max="8" width="8.984375E-2" hidden="1" customWidth="1"/>
    <col min="9" max="9" width="28" style="8" customWidth="1"/>
    <col min="10" max="11" width="16.6328125" style="1" customWidth="1"/>
    <col min="12" max="12" width="54.90625" style="1" bestFit="1" customWidth="1"/>
    <col min="17" max="17" width="8.984375E-2" customWidth="1"/>
    <col min="18" max="18" width="24.6328125" customWidth="1"/>
    <col min="19" max="19" width="35.36328125" customWidth="1"/>
  </cols>
  <sheetData>
    <row r="1" spans="1:19" ht="50.25" customHeight="1">
      <c r="A1" s="74" t="s">
        <v>372</v>
      </c>
      <c r="B1" s="23" t="s">
        <v>115</v>
      </c>
      <c r="C1" s="23" t="s">
        <v>9</v>
      </c>
      <c r="D1" s="5" t="s">
        <v>116</v>
      </c>
      <c r="I1" s="83" t="s">
        <v>373</v>
      </c>
      <c r="J1" s="84" t="s">
        <v>8</v>
      </c>
      <c r="K1" s="84" t="s">
        <v>9</v>
      </c>
      <c r="L1" s="5" t="s">
        <v>116</v>
      </c>
    </row>
    <row r="2" spans="1:19" ht="17">
      <c r="A2" s="212" t="s">
        <v>176</v>
      </c>
      <c r="B2" s="211">
        <f>VLOOKUP(A2,SKILLED!A:I,9,0)</f>
        <v>45744</v>
      </c>
      <c r="C2" s="211">
        <f>VLOOKUP(A2,SKILLED!$A:$J,10,0)</f>
        <v>45808</v>
      </c>
      <c r="D2" s="227" t="s">
        <v>233</v>
      </c>
      <c r="I2" s="111" t="s">
        <v>851</v>
      </c>
      <c r="J2" s="279">
        <f>VLOOKUP(I2,UNSKILLED!$A:$J,9,0)</f>
        <v>45824</v>
      </c>
      <c r="K2" s="117">
        <f>VLOOKUP(I2,UNSKILLED!$A:$J,10,0)</f>
        <v>45915</v>
      </c>
      <c r="L2" s="112" t="s">
        <v>829</v>
      </c>
      <c r="R2" s="71"/>
      <c r="S2" s="72"/>
    </row>
    <row r="3" spans="1:19">
      <c r="A3" s="204" t="s">
        <v>112</v>
      </c>
      <c r="B3" s="152">
        <f>VLOOKUP(A3,SKILLED!A:I,9,0)</f>
        <v>45667</v>
      </c>
      <c r="C3" s="152">
        <f>VLOOKUP(A3,SKILLED!$A:$J,10,0)</f>
        <v>45848</v>
      </c>
      <c r="D3" s="114" t="s">
        <v>636</v>
      </c>
      <c r="I3" s="111" t="s">
        <v>244</v>
      </c>
      <c r="J3" s="314">
        <f>VLOOKUP(I3,UNSKILLED!$A:$J,9,0)</f>
        <v>45789</v>
      </c>
      <c r="K3" s="117">
        <f>VLOOKUP(I3,UNSKILLED!$A:$J,10,0)</f>
        <v>45973</v>
      </c>
      <c r="L3" s="245" t="s">
        <v>829</v>
      </c>
      <c r="R3" s="76"/>
      <c r="S3" s="25"/>
    </row>
    <row r="4" spans="1:19">
      <c r="A4" s="203" t="s">
        <v>820</v>
      </c>
      <c r="B4" s="16">
        <f>VLOOKUP(A4,SKILLED!A:I,9,0)</f>
        <v>45793</v>
      </c>
      <c r="C4" s="16">
        <f>VLOOKUP(A4,SKILLED!$A:$J,10,0)</f>
        <v>45918</v>
      </c>
      <c r="D4" s="29" t="s">
        <v>233</v>
      </c>
      <c r="I4" s="3" t="s">
        <v>1020</v>
      </c>
      <c r="J4" s="39">
        <f>VLOOKUP(I4,UNSKILLED!$A:$J,9,0)</f>
        <v>46008</v>
      </c>
      <c r="K4" s="39">
        <f>VLOOKUP(I4,UNSKILLED!$A:$J,10,0)</f>
        <v>46013</v>
      </c>
      <c r="L4" s="2" t="s">
        <v>1025</v>
      </c>
      <c r="S4" s="32"/>
    </row>
    <row r="5" spans="1:19">
      <c r="A5" s="203" t="s">
        <v>657</v>
      </c>
      <c r="B5" s="16">
        <f>VLOOKUP(A5,SKILLED!A:I,9,0)</f>
        <v>45854</v>
      </c>
      <c r="C5" s="16">
        <f>VLOOKUP(A5,SKILLED!$A:$J,10,0)</f>
        <v>45945</v>
      </c>
      <c r="D5" s="29" t="s">
        <v>940</v>
      </c>
      <c r="I5" s="3" t="s">
        <v>245</v>
      </c>
      <c r="J5" s="39">
        <f>VLOOKUP(I5,UNSKILLED!$A:$J,9,0)</f>
        <v>45836</v>
      </c>
      <c r="K5" s="39">
        <f>VLOOKUP(I5,UNSKILLED!$A:$J,10,0)</f>
        <v>46022</v>
      </c>
      <c r="L5" s="2" t="s">
        <v>1120</v>
      </c>
      <c r="S5" s="25"/>
    </row>
    <row r="6" spans="1:19">
      <c r="A6" s="203" t="s">
        <v>865</v>
      </c>
      <c r="B6" s="16">
        <f>VLOOKUP(A6,SKILLED!A:I,9,0)</f>
        <v>45911</v>
      </c>
      <c r="C6" s="16">
        <f>VLOOKUP(A6,SKILLED!$A:$J,10,0)</f>
        <v>45947</v>
      </c>
      <c r="D6" s="29" t="s">
        <v>1044</v>
      </c>
      <c r="I6" s="3" t="s">
        <v>848</v>
      </c>
      <c r="J6" s="39">
        <f>VLOOKUP(I6,UNSKILLED!$A:$J,9,0)</f>
        <v>46008</v>
      </c>
      <c r="K6" s="39">
        <f>VLOOKUP(I6,UNSKILLED!$A:$J,10,0)</f>
        <v>46022</v>
      </c>
      <c r="L6" s="2" t="s">
        <v>1097</v>
      </c>
      <c r="S6" s="25"/>
    </row>
    <row r="7" spans="1:19">
      <c r="A7" s="203" t="s">
        <v>244</v>
      </c>
      <c r="B7" s="16">
        <f>VLOOKUP(A7,SKILLED!A:I,9,0)</f>
        <v>45789</v>
      </c>
      <c r="C7" s="16">
        <f>VLOOKUP(A7,SKILLED!$A:$J,10,0)</f>
        <v>45973</v>
      </c>
      <c r="D7" s="29" t="s">
        <v>233</v>
      </c>
      <c r="I7" s="310" t="s">
        <v>852</v>
      </c>
      <c r="J7" s="311">
        <f>VLOOKUP(I7,UNSKILLED!$A:$J,9,0)</f>
        <v>45946</v>
      </c>
      <c r="K7" s="311">
        <f>VLOOKUP(I7,UNSKILLED!$A:$J,10,0)</f>
        <v>46022</v>
      </c>
      <c r="L7" s="312" t="s">
        <v>1099</v>
      </c>
      <c r="S7" s="207"/>
    </row>
    <row r="8" spans="1:19">
      <c r="A8" s="203" t="s">
        <v>851</v>
      </c>
      <c r="B8" s="16">
        <f>VLOOKUP(A8,SKILLED!A:I,9,0)</f>
        <v>45909</v>
      </c>
      <c r="C8" s="16">
        <f>VLOOKUP(A8,SKILLED!$A:$J,10,0)</f>
        <v>46000</v>
      </c>
      <c r="D8" s="29" t="s">
        <v>233</v>
      </c>
      <c r="I8" s="3" t="s">
        <v>853</v>
      </c>
      <c r="J8" s="39">
        <f>VLOOKUP(I8,UNSKILLED!$A:$J,9,0)</f>
        <v>45954</v>
      </c>
      <c r="K8" s="39">
        <f>VLOOKUP(I8,UNSKILLED!$A:$J,10,0)</f>
        <v>46022</v>
      </c>
      <c r="L8" s="2" t="s">
        <v>1098</v>
      </c>
      <c r="S8" s="32"/>
    </row>
    <row r="9" spans="1:19">
      <c r="A9" s="203" t="s">
        <v>1054</v>
      </c>
      <c r="B9" s="16">
        <f>VLOOKUP(A9,SKILLED!A:I,9,0)</f>
        <v>45986</v>
      </c>
      <c r="C9" s="16">
        <f>VLOOKUP(A9,SKILLED!$A:$J,10,0)</f>
        <v>46022</v>
      </c>
      <c r="D9" s="29" t="s">
        <v>1101</v>
      </c>
      <c r="I9" s="348" t="s">
        <v>823</v>
      </c>
      <c r="J9" s="349">
        <f>VLOOKUP(I9,UNSKILLED!$A:$J,9,0)</f>
        <v>45972</v>
      </c>
      <c r="K9" s="117">
        <f>VLOOKUP(I9,UNSKILLED!$A:$J,10,0)</f>
        <v>46022</v>
      </c>
      <c r="L9" s="112" t="s">
        <v>829</v>
      </c>
      <c r="S9" s="32"/>
    </row>
    <row r="10" spans="1:19">
      <c r="A10" s="203" t="s">
        <v>185</v>
      </c>
      <c r="B10" s="16">
        <f>VLOOKUP(A10,SKILLED!A:I,9,0)</f>
        <v>45957</v>
      </c>
      <c r="C10" s="16">
        <f>VLOOKUP(A10,SKILLED!$A:$J,10,0)</f>
        <v>46023</v>
      </c>
      <c r="D10" s="2" t="s">
        <v>1101</v>
      </c>
      <c r="I10" s="212" t="s">
        <v>874</v>
      </c>
      <c r="J10" s="309">
        <f>VLOOKUP(I10,UNSKILLED!$A:$J,9,0)</f>
        <v>45873</v>
      </c>
      <c r="K10" s="242">
        <f>VLOOKUP(I10,UNSKILLED!$A:$J,10,0)</f>
        <v>46029</v>
      </c>
      <c r="L10" s="234" t="s">
        <v>1071</v>
      </c>
      <c r="S10" s="32"/>
    </row>
    <row r="11" spans="1:19">
      <c r="A11" s="203" t="s">
        <v>215</v>
      </c>
      <c r="B11" s="16">
        <f>VLOOKUP(A11,SKILLED!A:I,9,0)</f>
        <v>45957</v>
      </c>
      <c r="C11" s="16">
        <f>VLOOKUP(A11,SKILLED!$A:$J,10,0)</f>
        <v>46023</v>
      </c>
      <c r="D11" s="29" t="s">
        <v>1127</v>
      </c>
      <c r="I11" s="3" t="s">
        <v>157</v>
      </c>
      <c r="J11" s="39">
        <f>VLOOKUP(I11,UNSKILLED!$A:$J,9,0)</f>
        <v>45854</v>
      </c>
      <c r="K11" s="39">
        <f>VLOOKUP(I11,UNSKILLED!$A:$J,10,0)</f>
        <v>46037</v>
      </c>
      <c r="L11" s="2"/>
    </row>
    <row r="12" spans="1:19">
      <c r="A12" s="203" t="s">
        <v>153</v>
      </c>
      <c r="B12" s="16">
        <f>VLOOKUP(A12,SKILLED!A:I,9,0)</f>
        <v>45847</v>
      </c>
      <c r="C12" s="16">
        <f>VLOOKUP(A12,SKILLED!$A:$J,10,0)</f>
        <v>46030</v>
      </c>
      <c r="D12" s="29" t="s">
        <v>1101</v>
      </c>
      <c r="E12" s="239"/>
      <c r="I12" s="3" t="s">
        <v>888</v>
      </c>
      <c r="J12" s="82">
        <f>VLOOKUP(I12,UNSKILLED!$A:$J,9,0)</f>
        <v>45855</v>
      </c>
      <c r="K12" s="39">
        <f>VLOOKUP(I12,UNSKILLED!$A:$J,10,0)</f>
        <v>46038</v>
      </c>
      <c r="L12" s="2"/>
    </row>
    <row r="13" spans="1:19">
      <c r="A13" s="203" t="s">
        <v>148</v>
      </c>
      <c r="B13" s="16">
        <f>VLOOKUP(A13,SKILLED!A:I,9,0)</f>
        <v>45847</v>
      </c>
      <c r="C13" s="16">
        <f>VLOOKUP(A13,SKILLED!$A:$J,10,0)</f>
        <v>46030</v>
      </c>
      <c r="D13" s="2" t="s">
        <v>1101</v>
      </c>
      <c r="I13" s="3" t="s">
        <v>979</v>
      </c>
      <c r="J13" s="39">
        <f>VLOOKUP(I13,UNSKILLED!$A:$J,9,0)</f>
        <v>45870</v>
      </c>
      <c r="K13" s="39">
        <f>VLOOKUP(I13,UNSKILLED!$A:$J,10,0)</f>
        <v>46053</v>
      </c>
      <c r="L13" s="2"/>
    </row>
    <row r="14" spans="1:19">
      <c r="A14" s="203" t="s">
        <v>769</v>
      </c>
      <c r="B14" s="16" t="str">
        <f>VLOOKUP(A14,SKILLED!A:I,9,0)</f>
        <v>11/22/205</v>
      </c>
      <c r="C14" s="16">
        <f>VLOOKUP(A14,SKILLED!$A:$J,10,0)</f>
        <v>46033</v>
      </c>
      <c r="D14" s="2" t="s">
        <v>1128</v>
      </c>
      <c r="I14" s="3" t="s">
        <v>1072</v>
      </c>
      <c r="J14" s="39">
        <f>VLOOKUP(I14,UNSKILLED!$A:$J,9,0)</f>
        <v>46002</v>
      </c>
      <c r="K14" s="39">
        <f>VLOOKUP(I14,UNSKILLED!$A:$J,10,0)</f>
        <v>46053</v>
      </c>
      <c r="L14" s="50"/>
    </row>
    <row r="15" spans="1:19">
      <c r="A15" s="203" t="s">
        <v>201</v>
      </c>
      <c r="B15" s="16">
        <f>VLOOKUP(A15,SKILLED!A:I,9,0)</f>
        <v>45853</v>
      </c>
      <c r="C15" s="16">
        <f>VLOOKUP(A15,SKILLED!$A:$J,10,0)</f>
        <v>46036</v>
      </c>
      <c r="D15" s="29" t="s">
        <v>1129</v>
      </c>
      <c r="I15" s="73" t="s">
        <v>57</v>
      </c>
      <c r="J15" s="16">
        <f>VLOOKUP(I15,UNSKILLED!$A:$J,9,0)</f>
        <v>45887</v>
      </c>
      <c r="K15" s="39">
        <f>VLOOKUP(I15,UNSKILLED!$A:$J,10,0)</f>
        <v>46053</v>
      </c>
      <c r="L15" s="2"/>
    </row>
    <row r="16" spans="1:19">
      <c r="A16" s="203" t="s">
        <v>157</v>
      </c>
      <c r="B16" s="16">
        <f>VLOOKUP(A16,SKILLED!A:I,9,0)</f>
        <v>45854</v>
      </c>
      <c r="C16" s="16">
        <f>VLOOKUP(A16,SKILLED!$A:$J,10,0)</f>
        <v>46037</v>
      </c>
      <c r="D16" s="277"/>
      <c r="I16" s="3" t="s">
        <v>219</v>
      </c>
      <c r="J16" s="39">
        <f>VLOOKUP(I16,UNSKILLED!$A:$J,9,0)</f>
        <v>45888</v>
      </c>
      <c r="K16" s="39">
        <f>VLOOKUP(I16,UNSKILLED!$A:$J,10,0)</f>
        <v>46053</v>
      </c>
      <c r="L16" s="2"/>
    </row>
    <row r="17" spans="1:12">
      <c r="A17" s="203" t="s">
        <v>166</v>
      </c>
      <c r="B17" s="16">
        <f>VLOOKUP(A17,SKILLED!A:I,9,0)</f>
        <v>45867</v>
      </c>
      <c r="C17" s="16">
        <f>VLOOKUP(A17,SKILLED!$A:$J,10,0)</f>
        <v>46050</v>
      </c>
      <c r="D17" s="2"/>
      <c r="I17" s="6" t="s">
        <v>646</v>
      </c>
      <c r="J17" s="16">
        <f>VLOOKUP(I17,UNSKILLED!$A:$J,9,0)</f>
        <v>45891</v>
      </c>
      <c r="K17" s="39">
        <f>VLOOKUP(I17,UNSKILLED!$A:$J,10,0)</f>
        <v>46053</v>
      </c>
      <c r="L17" s="2"/>
    </row>
    <row r="18" spans="1:12">
      <c r="A18" s="203" t="s">
        <v>180</v>
      </c>
      <c r="B18" s="16">
        <f>VLOOKUP(A18,SKILLED!A:I,9,0)</f>
        <v>45867</v>
      </c>
      <c r="C18" s="16">
        <f>VLOOKUP(A18,SKILLED!$A:$J,10,0)</f>
        <v>46050</v>
      </c>
      <c r="D18" s="29"/>
      <c r="I18" s="6" t="s">
        <v>50</v>
      </c>
      <c r="J18" s="16">
        <f>VLOOKUP(I18,UNSKILLED!$A:$J,9,0)</f>
        <v>45915</v>
      </c>
      <c r="K18" s="39">
        <f>VLOOKUP(I18,UNSKILLED!$A:$J,10,0)</f>
        <v>46053</v>
      </c>
      <c r="L18" s="40"/>
    </row>
    <row r="19" spans="1:12">
      <c r="A19" s="203" t="s">
        <v>194</v>
      </c>
      <c r="B19" s="16">
        <f>VLOOKUP(A19,SKILLED!A:I,9,0)</f>
        <v>45867</v>
      </c>
      <c r="C19" s="16">
        <f>VLOOKUP(A19,SKILLED!$A:$J,10,0)</f>
        <v>46050</v>
      </c>
      <c r="D19" s="2"/>
      <c r="I19" s="6" t="s">
        <v>840</v>
      </c>
      <c r="J19" s="39">
        <f>VLOOKUP(I19,UNSKILLED!$A:$J,9,0)</f>
        <v>45931</v>
      </c>
      <c r="K19" s="39">
        <f>VLOOKUP(I19,UNSKILLED!$A:$J,10,0)</f>
        <v>46053</v>
      </c>
      <c r="L19" s="2"/>
    </row>
    <row r="20" spans="1:12">
      <c r="A20" s="203" t="s">
        <v>247</v>
      </c>
      <c r="B20" s="16">
        <f>VLOOKUP(A20,SKILLED!A:I,9,0)</f>
        <v>45839</v>
      </c>
      <c r="C20" s="16">
        <f>VLOOKUP(A20,SKILLED!$A:$J,10,0)</f>
        <v>46053</v>
      </c>
      <c r="D20" s="2"/>
      <c r="I20" s="73" t="s">
        <v>1001</v>
      </c>
      <c r="J20" s="39">
        <f>VLOOKUP(I20,UNSKILLED!$A:$J,9,0)</f>
        <v>45936</v>
      </c>
      <c r="K20" s="39">
        <f>VLOOKUP(I20,UNSKILLED!$A:$J,10,0)</f>
        <v>46053</v>
      </c>
      <c r="L20" s="2"/>
    </row>
    <row r="21" spans="1:12">
      <c r="A21" s="341" t="s">
        <v>122</v>
      </c>
      <c r="B21" s="334">
        <f>VLOOKUP(A21,SKILLED!A:I,9,0)</f>
        <v>45974</v>
      </c>
      <c r="C21" s="334">
        <f>VLOOKUP(A21,SKILLED!$A:$J,10,0)</f>
        <v>46060</v>
      </c>
      <c r="D21" s="391" t="s">
        <v>896</v>
      </c>
      <c r="I21" s="73" t="s">
        <v>1024</v>
      </c>
      <c r="J21" s="39">
        <f>VLOOKUP(I21,UNSKILLED!$A:$J,9,0)</f>
        <v>45958</v>
      </c>
      <c r="K21" s="39">
        <f>VLOOKUP(I21,UNSKILLED!$A:$J,10,0)</f>
        <v>46053</v>
      </c>
      <c r="L21" s="2"/>
    </row>
    <row r="22" spans="1:12">
      <c r="A22" s="203" t="s">
        <v>216</v>
      </c>
      <c r="B22" s="16">
        <f>VLOOKUP(A22,SKILLED!A:I,9,0)</f>
        <v>45987</v>
      </c>
      <c r="C22" s="16">
        <f>VLOOKUP(A22,SKILLED!$A:$J,10,0)</f>
        <v>46062</v>
      </c>
      <c r="D22" s="2"/>
      <c r="H22" s="115"/>
      <c r="I22" s="6" t="s">
        <v>613</v>
      </c>
      <c r="J22" s="16">
        <f>VLOOKUP(I22,UNSKILLED!$A:$J,9,0)</f>
        <v>45967</v>
      </c>
      <c r="K22" s="39">
        <f>VLOOKUP(I22,UNSKILLED!$A:$J,10,0)</f>
        <v>46053</v>
      </c>
      <c r="L22" s="2"/>
    </row>
    <row r="23" spans="1:12">
      <c r="A23" s="389" t="s">
        <v>14</v>
      </c>
      <c r="B23" s="16">
        <f>VLOOKUP(A23,SKILLED!A:I,9,0)</f>
        <v>46031</v>
      </c>
      <c r="C23" s="16">
        <f>VLOOKUP(A23,SKILLED!$A:$J,10,0)</f>
        <v>46062</v>
      </c>
      <c r="D23" s="2"/>
      <c r="I23" s="19" t="s">
        <v>833</v>
      </c>
      <c r="J23" s="82">
        <f>VLOOKUP(I23,UNSKILLED!$A:$J,9,0)</f>
        <v>45990</v>
      </c>
      <c r="K23" s="39">
        <f>VLOOKUP(I23,UNSKILLED!$A:$J,10,0)</f>
        <v>46053</v>
      </c>
      <c r="L23" s="118"/>
    </row>
    <row r="24" spans="1:12">
      <c r="A24" s="203" t="s">
        <v>625</v>
      </c>
      <c r="B24" s="16">
        <f>VLOOKUP(A24,SKILLED!A:I,9,0)</f>
        <v>46000</v>
      </c>
      <c r="C24" s="16">
        <f>VLOOKUP(A24,SKILLED!$A:$J,10,0)</f>
        <v>46063</v>
      </c>
      <c r="D24" s="2"/>
      <c r="I24" s="3" t="s">
        <v>886</v>
      </c>
      <c r="J24" s="39">
        <f>VLOOKUP(I24,UNSKILLED!$A:$J,9,0)</f>
        <v>45992</v>
      </c>
      <c r="K24" s="39">
        <f>VLOOKUP(I24,UNSKILLED!$A:$J,10,0)</f>
        <v>46053</v>
      </c>
      <c r="L24" s="2"/>
    </row>
    <row r="25" spans="1:12">
      <c r="A25" s="203" t="s">
        <v>508</v>
      </c>
      <c r="B25" s="16">
        <f>VLOOKUP(A25,SKILLED!A:I,9,0)</f>
        <v>45978</v>
      </c>
      <c r="C25" s="16">
        <f>VLOOKUP(A25,SKILLED!$A:$J,10,0)</f>
        <v>46072</v>
      </c>
      <c r="D25" s="75"/>
      <c r="H25" s="115"/>
      <c r="I25" s="142" t="s">
        <v>922</v>
      </c>
      <c r="J25" s="39">
        <f>VLOOKUP(I25,UNSKILLED!$A:$J,9,0)</f>
        <v>46013</v>
      </c>
      <c r="K25" s="39">
        <f>VLOOKUP(I25,UNSKILLED!$A:$J,10,0)</f>
        <v>46053</v>
      </c>
      <c r="L25" s="2"/>
    </row>
    <row r="26" spans="1:12">
      <c r="A26" s="203" t="s">
        <v>831</v>
      </c>
      <c r="B26" s="16">
        <f>VLOOKUP(A26,SKILLED!A:I,9,0)</f>
        <v>46023</v>
      </c>
      <c r="C26" s="16">
        <f>VLOOKUP(A26,SKILLED!$A:$J,10,0)</f>
        <v>46073</v>
      </c>
      <c r="D26" s="2"/>
      <c r="I26" s="6" t="s">
        <v>108</v>
      </c>
      <c r="J26" s="16">
        <f>VLOOKUP(I26,UNSKILLED!$A:$J,9,0)</f>
        <v>46029</v>
      </c>
      <c r="K26" s="39">
        <f>VLOOKUP(I26,UNSKILLED!$A:$J,10,0)</f>
        <v>46054</v>
      </c>
      <c r="L26" s="2" t="s">
        <v>1113</v>
      </c>
    </row>
    <row r="27" spans="1:12">
      <c r="A27" s="203" t="s">
        <v>1079</v>
      </c>
      <c r="B27" s="16">
        <f>VLOOKUP(A27,SKILLED!A:I,9,0)</f>
        <v>46000</v>
      </c>
      <c r="C27" s="16">
        <f>VLOOKUP(A27,SKILLED!$A:$J,10,0)</f>
        <v>46079</v>
      </c>
      <c r="D27" s="274"/>
      <c r="I27" s="3" t="s">
        <v>62</v>
      </c>
      <c r="J27" s="39">
        <f>VLOOKUP(I27,UNSKILLED!$A:$J,9,0)</f>
        <v>45924</v>
      </c>
      <c r="K27" s="39">
        <f>VLOOKUP(I27,UNSKILLED!$A:$J,10,0)</f>
        <v>46054</v>
      </c>
      <c r="L27" s="2"/>
    </row>
    <row r="28" spans="1:12">
      <c r="A28" s="203" t="s">
        <v>78</v>
      </c>
      <c r="B28" s="16">
        <f>VLOOKUP(A28,SKILLED!A:I,9,0)</f>
        <v>45974</v>
      </c>
      <c r="C28" s="16">
        <f>VLOOKUP(A28,SKILLED!$A:$J,10,0)</f>
        <v>46080</v>
      </c>
      <c r="D28" s="2"/>
      <c r="I28" s="142" t="s">
        <v>849</v>
      </c>
      <c r="J28" s="39">
        <f>VLOOKUP(I28,UNSKILLED!$A:$J,9,0)</f>
        <v>46029</v>
      </c>
      <c r="K28" s="39">
        <f>VLOOKUP(I28,UNSKILLED!$A:$J,10,0)</f>
        <v>46054</v>
      </c>
      <c r="L28" s="2"/>
    </row>
    <row r="29" spans="1:12">
      <c r="A29" s="203" t="s">
        <v>219</v>
      </c>
      <c r="B29" s="16">
        <f>VLOOKUP(A29,SKILLED!A:I,9,0)</f>
        <v>45974</v>
      </c>
      <c r="C29" s="16">
        <f>VLOOKUP(A29,SKILLED!$A:$J,10,0)</f>
        <v>46080</v>
      </c>
      <c r="D29" s="2"/>
      <c r="I29" s="3" t="s">
        <v>943</v>
      </c>
      <c r="J29" s="16">
        <f>VLOOKUP(I29,UNSKILLED!$A:$J,9,0)</f>
        <v>45898</v>
      </c>
      <c r="K29" s="39">
        <f>VLOOKUP(I29,UNSKILLED!$A:$J,10,0)</f>
        <v>46056</v>
      </c>
      <c r="L29" s="2"/>
    </row>
    <row r="30" spans="1:12">
      <c r="A30" s="203" t="s">
        <v>694</v>
      </c>
      <c r="B30" s="16">
        <f>VLOOKUP(A30,SKILLED!A:I,9,0)</f>
        <v>45978</v>
      </c>
      <c r="C30" s="16">
        <f>VLOOKUP(A30,SKILLED!$A:$J,10,0)</f>
        <v>46081</v>
      </c>
      <c r="D30" s="2"/>
      <c r="I30" s="3" t="s">
        <v>127</v>
      </c>
      <c r="J30" s="39">
        <f>VLOOKUP(I30,UNSKILLED!$A:$J,9,0)</f>
        <v>45980</v>
      </c>
      <c r="K30" s="39">
        <f>VLOOKUP(I30,UNSKILLED!$A:$J,10,0)</f>
        <v>46081</v>
      </c>
      <c r="L30" s="2"/>
    </row>
    <row r="31" spans="1:12">
      <c r="A31" s="203" t="s">
        <v>175</v>
      </c>
      <c r="B31" s="16">
        <f>VLOOKUP(A31,SKILLED!A:I,9,0)</f>
        <v>45931</v>
      </c>
      <c r="C31" s="16">
        <f>VLOOKUP(A31,SKILLED!$A:$J,10,0)</f>
        <v>46081</v>
      </c>
      <c r="D31" s="390"/>
      <c r="I31" s="3" t="s">
        <v>920</v>
      </c>
      <c r="J31" s="39">
        <f>VLOOKUP(I31,UNSKILLED!$A:$J,9,0)</f>
        <v>46008</v>
      </c>
      <c r="K31" s="39">
        <f>VLOOKUP(I31,UNSKILLED!$A:$J,10,0)</f>
        <v>46081</v>
      </c>
      <c r="L31" s="159" t="s">
        <v>1002</v>
      </c>
    </row>
    <row r="32" spans="1:12">
      <c r="A32" s="203" t="s">
        <v>172</v>
      </c>
      <c r="B32" s="16">
        <f>VLOOKUP(A32,SKILLED!A:I,9,0)</f>
        <v>45918</v>
      </c>
      <c r="C32" s="16">
        <f>VLOOKUP(A32,SKILLED!$A:$J,10,0)</f>
        <v>46081</v>
      </c>
      <c r="D32" s="2"/>
      <c r="I32" s="3" t="s">
        <v>971</v>
      </c>
      <c r="J32" s="39">
        <f>VLOOKUP(I32,UNSKILLED!$A:$J,9,0)</f>
        <v>45910</v>
      </c>
      <c r="K32" s="39">
        <f>VLOOKUP(I32,UNSKILLED!$A:$J,10,0)</f>
        <v>46081</v>
      </c>
      <c r="L32" s="2"/>
    </row>
    <row r="33" spans="1:12">
      <c r="A33" s="203" t="s">
        <v>234</v>
      </c>
      <c r="B33" s="16">
        <f>VLOOKUP(A33,SKILLED!A:I,9,0)</f>
        <v>45898</v>
      </c>
      <c r="C33" s="16">
        <f>VLOOKUP(A33,SKILLED!$A:$J,10,0)</f>
        <v>46081</v>
      </c>
      <c r="D33" s="2"/>
      <c r="I33" s="3" t="s">
        <v>972</v>
      </c>
      <c r="J33" s="39">
        <f>VLOOKUP(I33,UNSKILLED!$A:$J,9,0)</f>
        <v>45911</v>
      </c>
      <c r="K33" s="39">
        <f>VLOOKUP(I33,UNSKILLED!$A:$J,10,0)</f>
        <v>46081</v>
      </c>
      <c r="L33" s="39"/>
    </row>
    <row r="34" spans="1:12">
      <c r="A34" s="203" t="s">
        <v>240</v>
      </c>
      <c r="B34" s="16">
        <f>VLOOKUP(A34,SKILLED!A:I,9,0)</f>
        <v>45897</v>
      </c>
      <c r="C34" s="16">
        <f>VLOOKUP(A34,SKILLED!$A:$J,10,0)</f>
        <v>46081</v>
      </c>
      <c r="D34" s="47"/>
      <c r="I34" s="3" t="s">
        <v>1019</v>
      </c>
      <c r="J34" s="39">
        <f>VLOOKUP(I34,UNSKILLED!$A:$J,9,0)</f>
        <v>45912</v>
      </c>
      <c r="K34" s="39">
        <f>VLOOKUP(I34,UNSKILLED!$A:$J,10,0)</f>
        <v>46081</v>
      </c>
      <c r="L34" s="2"/>
    </row>
    <row r="35" spans="1:12">
      <c r="A35" s="203" t="s">
        <v>286</v>
      </c>
      <c r="B35" s="16">
        <f>VLOOKUP(A35,SKILLED!A:I,9,0)</f>
        <v>45994</v>
      </c>
      <c r="C35" s="16">
        <f>VLOOKUP(A35,SKILLED!$A:$J,10,0)</f>
        <v>46083</v>
      </c>
      <c r="D35" s="29"/>
      <c r="I35" s="6" t="s">
        <v>284</v>
      </c>
      <c r="J35" s="39">
        <f>VLOOKUP(I35,UNSKILLED!$A:$J,9,0)</f>
        <v>45919</v>
      </c>
      <c r="K35" s="39">
        <f>VLOOKUP(I35,UNSKILLED!$A:$J,10,0)</f>
        <v>46081</v>
      </c>
      <c r="L35" s="2"/>
    </row>
    <row r="36" spans="1:12">
      <c r="A36" s="203" t="s">
        <v>101</v>
      </c>
      <c r="B36" s="16">
        <f>VLOOKUP(A36,SKILLED!A:I,9,0)</f>
        <v>45903</v>
      </c>
      <c r="C36" s="16">
        <f>VLOOKUP(A36,SKILLED!$A:$J,10,0)</f>
        <v>46084</v>
      </c>
      <c r="D36" s="29"/>
      <c r="I36" s="73" t="s">
        <v>695</v>
      </c>
      <c r="J36" s="82">
        <f>VLOOKUP(I36,UNSKILLED!$A:$J,9,0)</f>
        <v>45925</v>
      </c>
      <c r="K36" s="39">
        <f>VLOOKUP(I36,UNSKILLED!$A:$J,10,0)</f>
        <v>46081</v>
      </c>
      <c r="L36" s="2"/>
    </row>
    <row r="37" spans="1:12">
      <c r="A37" s="203" t="s">
        <v>678</v>
      </c>
      <c r="B37" s="16">
        <f>VLOOKUP(A37,SKILLED!A:I,9,0)</f>
        <v>46023</v>
      </c>
      <c r="C37" s="16">
        <f>VLOOKUP(A37,SKILLED!$A:$J,10,0)</f>
        <v>46090</v>
      </c>
      <c r="D37" s="29" t="s">
        <v>1097</v>
      </c>
      <c r="I37" s="142" t="s">
        <v>991</v>
      </c>
      <c r="J37" s="39">
        <f>VLOOKUP(I37,UNSKILLED!$A:$J,9,0)</f>
        <v>45931</v>
      </c>
      <c r="K37" s="39">
        <f>VLOOKUP(I37,UNSKILLED!$A:$J,10,0)</f>
        <v>46081</v>
      </c>
      <c r="L37" s="3"/>
    </row>
    <row r="38" spans="1:12">
      <c r="A38" s="203" t="s">
        <v>196</v>
      </c>
      <c r="B38" s="16">
        <f>VLOOKUP(A38,SKILLED!A:I,9,0)</f>
        <v>45910</v>
      </c>
      <c r="C38" s="16">
        <f>VLOOKUP(A38,SKILLED!$A:$J,10,0)</f>
        <v>46091</v>
      </c>
      <c r="D38" s="29"/>
      <c r="I38" s="3" t="s">
        <v>997</v>
      </c>
      <c r="J38" s="39">
        <f>VLOOKUP(I38,UNSKILLED!$A:$J,9,0)</f>
        <v>45931</v>
      </c>
      <c r="K38" s="39">
        <f>VLOOKUP(I38,UNSKILLED!$A:$J,10,0)</f>
        <v>46081</v>
      </c>
      <c r="L38" s="2"/>
    </row>
    <row r="39" spans="1:12">
      <c r="A39" s="203" t="s">
        <v>209</v>
      </c>
      <c r="B39" s="16">
        <f>VLOOKUP(A39,SKILLED!A:I,9,0)</f>
        <v>45910</v>
      </c>
      <c r="C39" s="16">
        <f>VLOOKUP(A39,SKILLED!$A:$J,10,0)</f>
        <v>46091</v>
      </c>
      <c r="D39" s="29"/>
      <c r="I39" s="3" t="s">
        <v>953</v>
      </c>
      <c r="J39" s="39">
        <f>VLOOKUP(I39,UNSKILLED!$A:$J,9,0)</f>
        <v>45933</v>
      </c>
      <c r="K39" s="39">
        <f>VLOOKUP(I39,UNSKILLED!$A:$J,10,0)</f>
        <v>46081</v>
      </c>
      <c r="L39" s="155"/>
    </row>
    <row r="40" spans="1:12">
      <c r="A40" s="203" t="s">
        <v>1046</v>
      </c>
      <c r="B40" s="16">
        <f>VLOOKUP(A40,SKILLED!A:I,9,0)</f>
        <v>46005</v>
      </c>
      <c r="C40" s="16">
        <f>VLOOKUP(A40,SKILLED!$A:$J,10,0)</f>
        <v>46095</v>
      </c>
      <c r="D40" s="29"/>
      <c r="I40" s="142" t="s">
        <v>873</v>
      </c>
      <c r="J40" s="82">
        <f>VLOOKUP(I40,UNSKILLED!$A:$J,9,0)</f>
        <v>45933</v>
      </c>
      <c r="K40" s="39">
        <f>VLOOKUP(I40,UNSKILLED!$A:$J,10,0)</f>
        <v>46081</v>
      </c>
      <c r="L40" s="2"/>
    </row>
    <row r="41" spans="1:12">
      <c r="A41" s="203" t="s">
        <v>213</v>
      </c>
      <c r="B41" s="16">
        <f>VLOOKUP(A41,SKILLED!A:I,9,0)</f>
        <v>45946</v>
      </c>
      <c r="C41" s="16">
        <f>VLOOKUP(A41,SKILLED!$A:$J,10,0)</f>
        <v>46097</v>
      </c>
      <c r="D41" s="278"/>
      <c r="I41" s="6" t="s">
        <v>14</v>
      </c>
      <c r="J41" s="39">
        <f>VLOOKUP(I41,UNSKILLED!$A:$J,9,0)</f>
        <v>45994</v>
      </c>
      <c r="K41" s="39">
        <f>VLOOKUP(I41,UNSKILLED!$A:$J,10,0)</f>
        <v>46081</v>
      </c>
      <c r="L41" s="2" t="s">
        <v>1042</v>
      </c>
    </row>
    <row r="42" spans="1:12">
      <c r="A42" s="203" t="s">
        <v>974</v>
      </c>
      <c r="B42" s="16">
        <f>VLOOKUP(A42,SKILLED!A:I,9,0)</f>
        <v>45916</v>
      </c>
      <c r="C42" s="16">
        <f>VLOOKUP(A42,SKILLED!$A:$J,10,0)</f>
        <v>46097</v>
      </c>
      <c r="D42" s="29"/>
      <c r="I42" s="6" t="s">
        <v>79</v>
      </c>
      <c r="J42" s="16">
        <f>VLOOKUP(I42,UNSKILLED!$A:$J,9,0)</f>
        <v>45947</v>
      </c>
      <c r="K42" s="39">
        <f>VLOOKUP(I42,UNSKILLED!$A:$J,10,0)</f>
        <v>46081</v>
      </c>
      <c r="L42" s="2"/>
    </row>
    <row r="43" spans="1:12">
      <c r="A43" s="203" t="s">
        <v>190</v>
      </c>
      <c r="B43" s="16">
        <f>VLOOKUP(A43,SKILLED!A:I,9,0)</f>
        <v>45946</v>
      </c>
      <c r="C43" s="16">
        <f>VLOOKUP(A43,SKILLED!$A:$J,10,0)</f>
        <v>46097</v>
      </c>
      <c r="D43" s="277"/>
      <c r="I43" s="142" t="s">
        <v>1048</v>
      </c>
      <c r="J43" s="39">
        <f>VLOOKUP(I43,UNSKILLED!$A:$J,9,0)</f>
        <v>45980</v>
      </c>
      <c r="K43" s="39">
        <f>VLOOKUP(I43,UNSKILLED!$A:$J,10,0)</f>
        <v>46081</v>
      </c>
      <c r="L43" s="2"/>
    </row>
    <row r="44" spans="1:12">
      <c r="A44" s="203" t="s">
        <v>336</v>
      </c>
      <c r="B44" s="16">
        <f>VLOOKUP(A44,SKILLED!A:I,9,0)</f>
        <v>45917</v>
      </c>
      <c r="C44" s="16">
        <f>VLOOKUP(A44,SKILLED!$A:$J,10,0)</f>
        <v>46103</v>
      </c>
      <c r="D44" s="29"/>
      <c r="I44" s="73" t="s">
        <v>103</v>
      </c>
      <c r="J44" s="82" t="str">
        <f>VLOOKUP(I44,UNSKILLED!$A:$J,9,0)</f>
        <v>11/28/205</v>
      </c>
      <c r="K44" s="39">
        <f>VLOOKUP(I44,UNSKILLED!$A:$J,10,0)</f>
        <v>46081</v>
      </c>
      <c r="L44" s="2"/>
    </row>
    <row r="45" spans="1:12">
      <c r="A45" s="203" t="s">
        <v>104</v>
      </c>
      <c r="B45" s="16">
        <f>VLOOKUP(A45,SKILLED!A:I,9,0)</f>
        <v>45929</v>
      </c>
      <c r="C45" s="16">
        <f>VLOOKUP(A45,SKILLED!$A:$J,10,0)</f>
        <v>46111</v>
      </c>
      <c r="D45" s="29"/>
      <c r="I45" s="6" t="s">
        <v>27</v>
      </c>
      <c r="J45" s="39">
        <f>VLOOKUP(I45,UNSKILLED!$A:$J,9,0)</f>
        <v>46029</v>
      </c>
      <c r="K45" s="39">
        <f>VLOOKUP(I45,UNSKILLED!$A:$J,10,0)</f>
        <v>46082</v>
      </c>
      <c r="L45" s="2" t="s">
        <v>1113</v>
      </c>
    </row>
    <row r="46" spans="1:12">
      <c r="A46" s="203" t="s">
        <v>853</v>
      </c>
      <c r="B46" s="16">
        <f>VLOOKUP(A46,SKILLED!A:I,9,0)</f>
        <v>45940</v>
      </c>
      <c r="C46" s="16">
        <f>VLOOKUP(A46,SKILLED!$A:$J,10,0)</f>
        <v>46112</v>
      </c>
      <c r="D46" s="29"/>
      <c r="I46" s="3" t="s">
        <v>983</v>
      </c>
      <c r="J46" s="39">
        <f>VLOOKUP(I46,UNSKILLED!$A:$J,9,0)</f>
        <v>45929</v>
      </c>
      <c r="K46" s="39">
        <f>VLOOKUP(I46,UNSKILLED!$A:$J,10,0)</f>
        <v>46104</v>
      </c>
      <c r="L46" s="2"/>
    </row>
    <row r="47" spans="1:12">
      <c r="A47" s="213" t="s">
        <v>207</v>
      </c>
      <c r="B47" s="16">
        <f>VLOOKUP(A47,SKILLED!A:I,9,0)</f>
        <v>45939</v>
      </c>
      <c r="C47" s="16">
        <f>VLOOKUP(A47,SKILLED!$A:$J,10,0)</f>
        <v>46112</v>
      </c>
      <c r="D47" s="29"/>
      <c r="I47" s="73" t="s">
        <v>1026</v>
      </c>
      <c r="J47" s="39">
        <f>VLOOKUP(I47,UNSKILLED!$A:$J,9,0)</f>
        <v>46029</v>
      </c>
      <c r="K47" s="39">
        <f>VLOOKUP(I47,UNSKILLED!$A:$J,10,0)</f>
        <v>46112</v>
      </c>
      <c r="L47" s="2"/>
    </row>
    <row r="48" spans="1:12">
      <c r="A48" s="203" t="s">
        <v>62</v>
      </c>
      <c r="B48" s="16">
        <f>VLOOKUP(A48,SKILLED!A:I,9,0)</f>
        <v>45925</v>
      </c>
      <c r="C48" s="16">
        <f>VLOOKUP(A48,SKILLED!$A:$J,10,0)</f>
        <v>46112</v>
      </c>
      <c r="D48" s="29"/>
      <c r="I48" s="19" t="s">
        <v>1023</v>
      </c>
      <c r="J48" s="39">
        <f>VLOOKUP(I48,UNSKILLED!$A:$J,9,0)</f>
        <v>46027</v>
      </c>
      <c r="K48" s="39">
        <f>VLOOKUP(I48,UNSKILLED!$A:$J,10,0)</f>
        <v>46112</v>
      </c>
      <c r="L48" s="2"/>
    </row>
    <row r="49" spans="1:48" s="3" customFormat="1">
      <c r="A49" s="203" t="s">
        <v>877</v>
      </c>
      <c r="B49" s="16" t="str">
        <f>VLOOKUP(A49,SKILLED!A:I,9,0)</f>
        <v>10/01/205</v>
      </c>
      <c r="C49" s="16">
        <f>VLOOKUP(A49,SKILLED!$A:$J,10,0)</f>
        <v>46113</v>
      </c>
      <c r="D49" s="29"/>
      <c r="E49"/>
      <c r="F49"/>
      <c r="G49"/>
      <c r="H49"/>
      <c r="I49" s="3" t="s">
        <v>957</v>
      </c>
      <c r="J49" s="39">
        <f>VLOOKUP(I49,UNSKILLED!$A:$J,9,0)</f>
        <v>45909</v>
      </c>
      <c r="K49" s="39">
        <f>VLOOKUP(I49,UNSKILLED!$A:$J,10,0)</f>
        <v>46112</v>
      </c>
      <c r="L49" s="2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 s="46"/>
    </row>
    <row r="50" spans="1:48" s="3" customFormat="1">
      <c r="A50" s="203" t="s">
        <v>241</v>
      </c>
      <c r="B50" s="16">
        <f>VLOOKUP(A50,SKILLED!A:I,9,0)</f>
        <v>45932</v>
      </c>
      <c r="C50" s="16">
        <f>VLOOKUP(A50,SKILLED!$A:$J,10,0)</f>
        <v>46113</v>
      </c>
      <c r="D50" s="206"/>
      <c r="E50"/>
      <c r="F50"/>
      <c r="G50"/>
      <c r="H50"/>
      <c r="I50" s="3" t="s">
        <v>690</v>
      </c>
      <c r="J50" s="82">
        <f>VLOOKUP(I50,UNSKILLED!$A:$J,9,0)</f>
        <v>45929</v>
      </c>
      <c r="K50" s="39">
        <f>VLOOKUP(I50,UNSKILLED!$A:$J,10,0)</f>
        <v>46112</v>
      </c>
      <c r="L50" s="2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 s="46"/>
    </row>
    <row r="51" spans="1:48" s="3" customFormat="1">
      <c r="A51" s="203" t="s">
        <v>656</v>
      </c>
      <c r="B51" s="16">
        <f>VLOOKUP(A51,SKILLED!A:I,9,0)</f>
        <v>46027</v>
      </c>
      <c r="C51" s="16">
        <f>VLOOKUP(A51,SKILLED!$A:$J,10,0)</f>
        <v>46118</v>
      </c>
      <c r="D51" s="278"/>
      <c r="E51"/>
      <c r="F51"/>
      <c r="G51"/>
      <c r="H51"/>
      <c r="I51" s="142" t="s">
        <v>993</v>
      </c>
      <c r="J51" s="39">
        <f>VLOOKUP(I51,UNSKILLED!$A:$J,9,0)</f>
        <v>45931</v>
      </c>
      <c r="K51" s="39">
        <f>VLOOKUP(I51,UNSKILLED!$A:$J,10,0)</f>
        <v>46112</v>
      </c>
      <c r="L51" s="2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 s="46"/>
    </row>
    <row r="52" spans="1:48" s="3" customFormat="1">
      <c r="A52" s="203" t="s">
        <v>161</v>
      </c>
      <c r="B52" s="16">
        <f>VLOOKUP(A52,SKILLED!A:I,9,0)</f>
        <v>46029</v>
      </c>
      <c r="C52" s="16">
        <f>VLOOKUP(A52,SKILLED!$A:$J,10,0)</f>
        <v>46119</v>
      </c>
      <c r="D52" s="29"/>
      <c r="E52"/>
      <c r="F52"/>
      <c r="G52"/>
      <c r="H52"/>
      <c r="I52" s="142" t="s">
        <v>201</v>
      </c>
      <c r="J52" s="39">
        <f>VLOOKUP(I52,UNSKILLED!$A:$J,9,0)</f>
        <v>45938</v>
      </c>
      <c r="K52" s="39">
        <f>VLOOKUP(I52,UNSKILLED!$A:$J,10,0)</f>
        <v>46112</v>
      </c>
      <c r="L52" s="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 s="46"/>
    </row>
    <row r="53" spans="1:48" s="3" customFormat="1">
      <c r="A53" s="203" t="s">
        <v>246</v>
      </c>
      <c r="B53" s="16">
        <f>VLOOKUP(A53,SKILLED!A:I,9,0)</f>
        <v>45940</v>
      </c>
      <c r="C53" s="16">
        <f>VLOOKUP(A53,SKILLED!$A:$J,10,0)</f>
        <v>46121</v>
      </c>
      <c r="D53" s="29"/>
      <c r="E53"/>
      <c r="F53"/>
      <c r="G53"/>
      <c r="H53"/>
      <c r="I53" s="3" t="s">
        <v>1049</v>
      </c>
      <c r="J53" s="39">
        <f>VLOOKUP(I53,UNSKILLED!$A:$J,9,0)</f>
        <v>45979</v>
      </c>
      <c r="K53" s="39">
        <f>VLOOKUP(I53,UNSKILLED!$A:$J,10,0)</f>
        <v>46112</v>
      </c>
      <c r="L53" s="2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 s="46"/>
    </row>
    <row r="54" spans="1:48" s="3" customFormat="1">
      <c r="A54" s="203" t="s">
        <v>280</v>
      </c>
      <c r="B54" s="16">
        <f>VLOOKUP(A54,SKILLED!A:I,9,0)</f>
        <v>46031</v>
      </c>
      <c r="C54" s="16">
        <f>VLOOKUP(A54,SKILLED!$A:$J,10,0)</f>
        <v>46122</v>
      </c>
      <c r="D54" s="205"/>
      <c r="E54"/>
      <c r="F54"/>
      <c r="G54"/>
      <c r="H54"/>
      <c r="I54" s="3" t="s">
        <v>947</v>
      </c>
      <c r="J54" s="39">
        <f>VLOOKUP(I54,UNSKILLED!$A:$J,9,0)</f>
        <v>45995</v>
      </c>
      <c r="K54" s="39">
        <f>VLOOKUP(I54,UNSKILLED!$A:$J,10,0)</f>
        <v>46140</v>
      </c>
      <c r="L54" s="2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 s="46"/>
    </row>
    <row r="55" spans="1:48" s="3" customFormat="1">
      <c r="A55" s="203" t="s">
        <v>613</v>
      </c>
      <c r="B55" s="16">
        <f>VLOOKUP(A55,SKILLED!A:I,9,0)</f>
        <v>46024</v>
      </c>
      <c r="C55" s="16">
        <f>VLOOKUP(A55,SKILLED!$A:$J,10,0)</f>
        <v>46127</v>
      </c>
      <c r="D55" s="206"/>
      <c r="E55"/>
      <c r="F55"/>
      <c r="G55"/>
      <c r="H55"/>
      <c r="I55" s="3" t="s">
        <v>609</v>
      </c>
      <c r="J55" s="39">
        <f>VLOOKUP(I55,UNSKILLED!$A:$J,9,0)</f>
        <v>45995</v>
      </c>
      <c r="K55" s="39">
        <f>VLOOKUP(I55,UNSKILLED!$A:$J,10,0)</f>
        <v>46140</v>
      </c>
      <c r="L55" s="234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 s="46"/>
    </row>
    <row r="56" spans="1:48">
      <c r="A56" s="202" t="s">
        <v>839</v>
      </c>
      <c r="B56" s="16">
        <f>VLOOKUP(A56,SKILLED!A:I,9,0)</f>
        <v>46009</v>
      </c>
      <c r="C56" s="16">
        <f>VLOOKUP(A56,SKILLED!$A:$J,10,0)</f>
        <v>46127</v>
      </c>
      <c r="D56" s="2"/>
      <c r="I56" s="3" t="s">
        <v>213</v>
      </c>
      <c r="J56" s="39">
        <f>VLOOKUP(I56,UNSKILLED!$A:$J,9,0)</f>
        <v>46023</v>
      </c>
      <c r="K56" s="39">
        <f>VLOOKUP(I56,UNSKILLED!$A:$J,10,0)</f>
        <v>46142</v>
      </c>
      <c r="L56" s="2"/>
    </row>
    <row r="57" spans="1:48">
      <c r="A57" s="203" t="s">
        <v>374</v>
      </c>
      <c r="B57" s="16">
        <f>VLOOKUP(A57,SKILLED!A:I,9,0)</f>
        <v>45946</v>
      </c>
      <c r="C57" s="16">
        <f>VLOOKUP(A57,SKILLED!$A:$J,10,0)</f>
        <v>46127</v>
      </c>
      <c r="D57" s="29"/>
      <c r="I57" s="6" t="s">
        <v>205</v>
      </c>
      <c r="J57" s="16">
        <f>VLOOKUP(I57,UNSKILLED!$A:$J,9,0)</f>
        <v>46023</v>
      </c>
      <c r="K57" s="39">
        <f>VLOOKUP(I57,UNSKILLED!$A:$J,10,0)</f>
        <v>46142</v>
      </c>
      <c r="L57" s="2" t="s">
        <v>1106</v>
      </c>
    </row>
    <row r="58" spans="1:48">
      <c r="A58" s="202" t="s">
        <v>1000</v>
      </c>
      <c r="B58" s="16">
        <f>VLOOKUP(A58,SKILLED!A:I,9,0)</f>
        <v>46035</v>
      </c>
      <c r="C58" s="16">
        <f>VLOOKUP(A58,SKILLED!$A:$J,10,0)</f>
        <v>46128</v>
      </c>
      <c r="D58" s="2" t="s">
        <v>1101</v>
      </c>
      <c r="I58" s="3" t="s">
        <v>191</v>
      </c>
      <c r="J58" s="39">
        <f>VLOOKUP(I58,UNSKILLED!$A:$J,9,0)</f>
        <v>46023</v>
      </c>
      <c r="K58" s="39">
        <f>VLOOKUP(I58,UNSKILLED!$A:$J,10,0)</f>
        <v>46142</v>
      </c>
      <c r="L58" s="2"/>
    </row>
    <row r="59" spans="1:48">
      <c r="A59" s="3" t="s">
        <v>1084</v>
      </c>
      <c r="B59" s="16">
        <f>VLOOKUP(A59,SKILLED!A:I,9,0)</f>
        <v>46031</v>
      </c>
      <c r="C59" s="16">
        <f>VLOOKUP(A59,SKILLED!$A:$J,10,0)</f>
        <v>46128</v>
      </c>
      <c r="D59" s="274"/>
      <c r="I59" s="3" t="s">
        <v>104</v>
      </c>
      <c r="J59" s="39">
        <f>VLOOKUP(I59,UNSKILLED!$A:$J,9,0)</f>
        <v>46015</v>
      </c>
      <c r="K59" s="39">
        <f>VLOOKUP(I59,UNSKILLED!$A:$J,10,0)</f>
        <v>46142</v>
      </c>
      <c r="L59" s="2"/>
    </row>
    <row r="60" spans="1:48">
      <c r="A60" s="3" t="s">
        <v>509</v>
      </c>
      <c r="B60" s="16">
        <f>VLOOKUP(A60,SKILLED!A:I,9,0)</f>
        <v>45939</v>
      </c>
      <c r="C60" s="16">
        <f>VLOOKUP(A60,SKILLED!$A:$J,10,0)</f>
        <v>46128</v>
      </c>
      <c r="D60" s="308"/>
      <c r="I60" s="73" t="s">
        <v>33</v>
      </c>
      <c r="J60" s="82">
        <f>VLOOKUP(I60,UNSKILLED!$A:$J,9,0)</f>
        <v>46023</v>
      </c>
      <c r="K60" s="39">
        <f>VLOOKUP(I60,UNSKILLED!$A:$J,10,0)</f>
        <v>46142</v>
      </c>
      <c r="L60" s="154"/>
    </row>
    <row r="61" spans="1:48">
      <c r="A61" s="3" t="s">
        <v>191</v>
      </c>
      <c r="B61" s="16">
        <f>VLOOKUP(A61,SKILLED!A:I,9,0)</f>
        <v>45954</v>
      </c>
      <c r="C61" s="16">
        <f>VLOOKUP(A61,SKILLED!$A:$J,10,0)</f>
        <v>46136</v>
      </c>
      <c r="D61" s="2"/>
      <c r="I61" s="73" t="s">
        <v>46</v>
      </c>
      <c r="J61" s="16">
        <f>VLOOKUP(I61,UNSKILLED!$A:$J,9,0)</f>
        <v>46013</v>
      </c>
      <c r="K61" s="39">
        <f>VLOOKUP(I61,UNSKILLED!$A:$J,10,0)</f>
        <v>46142</v>
      </c>
      <c r="L61" s="225"/>
    </row>
    <row r="62" spans="1:48">
      <c r="A62" s="3" t="s">
        <v>193</v>
      </c>
      <c r="B62" s="16">
        <f>VLOOKUP(A62,SKILLED!A:I,9,0)</f>
        <v>45971</v>
      </c>
      <c r="C62" s="16">
        <f>VLOOKUP(A62,SKILLED!$A:$J,10,0)</f>
        <v>46142</v>
      </c>
      <c r="D62" s="235"/>
      <c r="G62" s="32"/>
      <c r="H62" s="1"/>
      <c r="I62" s="3" t="s">
        <v>190</v>
      </c>
      <c r="J62" s="39">
        <f>VLOOKUP(I62,UNSKILLED!$A:$J,9,0)</f>
        <v>46029</v>
      </c>
      <c r="K62" s="39">
        <f>VLOOKUP(I62,UNSKILLED!$A:$J,10,0)</f>
        <v>46143</v>
      </c>
      <c r="L62" s="2" t="s">
        <v>1113</v>
      </c>
    </row>
    <row r="63" spans="1:48">
      <c r="A63" s="3" t="s">
        <v>103</v>
      </c>
      <c r="B63" s="16">
        <f>VLOOKUP(A63,SKILLED!A:I,9,0)</f>
        <v>45960</v>
      </c>
      <c r="C63" s="16">
        <f>VLOOKUP(A63,SKILLED!$A:$J,10,0)</f>
        <v>46142</v>
      </c>
      <c r="D63" s="2"/>
      <c r="I63" s="3" t="s">
        <v>915</v>
      </c>
      <c r="J63" s="39">
        <f>VLOOKUP(I63,UNSKILLED!$A:$J,9,0)</f>
        <v>46029</v>
      </c>
      <c r="K63" s="39">
        <f>VLOOKUP(I63,UNSKILLED!$A:$J,10,0)</f>
        <v>46143</v>
      </c>
      <c r="L63" s="2" t="s">
        <v>1090</v>
      </c>
    </row>
    <row r="64" spans="1:48">
      <c r="A64" s="46" t="s">
        <v>203</v>
      </c>
      <c r="B64" s="16">
        <f>VLOOKUP(A64,SKILLED!A:I,9,0)</f>
        <v>46031</v>
      </c>
      <c r="C64" s="16">
        <f>VLOOKUP(A64,SKILLED!$A:$J,10,0)</f>
        <v>46143</v>
      </c>
      <c r="D64" s="2"/>
      <c r="I64" s="3" t="s">
        <v>1094</v>
      </c>
      <c r="J64" s="82">
        <f>VLOOKUP(I64,UNSKILLED!$A:$J,9,0)</f>
        <v>45992</v>
      </c>
      <c r="K64" s="39">
        <f>VLOOKUP(I64,UNSKILLED!$A:$J,10,0)</f>
        <v>46170</v>
      </c>
      <c r="L64" s="2"/>
    </row>
    <row r="65" spans="1:12">
      <c r="A65" s="46" t="s">
        <v>885</v>
      </c>
      <c r="B65" s="16">
        <f>VLOOKUP(A65,SKILLED!A:I,9,0)</f>
        <v>46027</v>
      </c>
      <c r="C65" s="16">
        <f>VLOOKUP(A65,SKILLED!$A:$J,10,0)</f>
        <v>46143</v>
      </c>
      <c r="D65" s="2"/>
      <c r="I65" s="6" t="s">
        <v>825</v>
      </c>
      <c r="J65" s="82">
        <f>VLOOKUP(I65,UNSKILLED!$A:$J,9,0)</f>
        <v>45982</v>
      </c>
      <c r="K65" s="39">
        <f>VLOOKUP(I65,UNSKILLED!$A:$J,10,0)</f>
        <v>46171</v>
      </c>
      <c r="L65" s="2"/>
    </row>
    <row r="66" spans="1:12">
      <c r="A66" s="3" t="s">
        <v>154</v>
      </c>
      <c r="B66" s="16">
        <f>VLOOKUP(A66,SKILLED!A:I,9,0)</f>
        <v>46024</v>
      </c>
      <c r="C66" s="16">
        <f>VLOOKUP(A66,SKILLED!$A:$J,10,0)</f>
        <v>46143</v>
      </c>
      <c r="D66" s="2"/>
      <c r="I66" s="19" t="s">
        <v>84</v>
      </c>
      <c r="J66" s="82">
        <f>VLOOKUP(I66,UNSKILLED!$A:$J,9,0)</f>
        <v>45658</v>
      </c>
      <c r="K66" s="39">
        <f>VLOOKUP(I66,UNSKILLED!$A:$J,10,0)</f>
        <v>46173</v>
      </c>
      <c r="L66" s="2"/>
    </row>
    <row r="67" spans="1:12">
      <c r="A67" s="19" t="s">
        <v>833</v>
      </c>
      <c r="B67" s="16">
        <f>VLOOKUP(A67,SKILLED!A:I,9,0)</f>
        <v>46027</v>
      </c>
      <c r="C67" s="16">
        <f>VLOOKUP(A67,SKILLED!$A:$J,10,0)</f>
        <v>46143</v>
      </c>
      <c r="D67" s="2"/>
      <c r="I67" s="3" t="s">
        <v>839</v>
      </c>
      <c r="J67" s="39">
        <f>VLOOKUP(I67,UNSKILLED!$A:$J,9,0)</f>
        <v>46023</v>
      </c>
      <c r="K67" s="39">
        <f>VLOOKUP(I67,UNSKILLED!$A:$J,10,0)</f>
        <v>46173</v>
      </c>
      <c r="L67" s="86" t="s">
        <v>1106</v>
      </c>
    </row>
    <row r="68" spans="1:12">
      <c r="A68" s="3" t="s">
        <v>108</v>
      </c>
      <c r="B68" s="16">
        <f>VLOOKUP(A68,SKILLED!A:I,9,0)</f>
        <v>46023</v>
      </c>
      <c r="C68" s="16">
        <f>VLOOKUP(A68,SKILLED!$A:$J,10,0)</f>
        <v>46143</v>
      </c>
      <c r="D68" s="16"/>
      <c r="I68" s="3" t="s">
        <v>246</v>
      </c>
      <c r="J68" s="16">
        <f>VLOOKUP(I68,UNSKILLED!$A:$J,9,0)</f>
        <v>45658</v>
      </c>
      <c r="K68" s="39">
        <f>VLOOKUP(I68,UNSKILLED!$A:$J,10,0)</f>
        <v>46173</v>
      </c>
      <c r="L68" s="2"/>
    </row>
    <row r="69" spans="1:12">
      <c r="A69" s="3" t="s">
        <v>144</v>
      </c>
      <c r="B69" s="16">
        <f>VLOOKUP(A69,SKILLED!A:I,9,0)</f>
        <v>45966</v>
      </c>
      <c r="C69" s="16">
        <f>VLOOKUP(A69,SKILLED!$A:$J,10,0)</f>
        <v>46147</v>
      </c>
      <c r="D69" s="2"/>
      <c r="I69" s="73" t="s">
        <v>61</v>
      </c>
      <c r="J69" s="82">
        <f>VLOOKUP(I69,UNSKILLED!$A:$J,9,0)</f>
        <v>45967</v>
      </c>
      <c r="K69" s="39">
        <f>VLOOKUP(I69,UNSKILLED!$A:$J,10,0)</f>
        <v>46173</v>
      </c>
      <c r="L69" s="86"/>
    </row>
    <row r="70" spans="1:12">
      <c r="A70" s="3" t="s">
        <v>245</v>
      </c>
      <c r="B70" s="16">
        <f>VLOOKUP(A70,SKILLED!A:I,9,0)</f>
        <v>45968</v>
      </c>
      <c r="C70" s="16">
        <f>VLOOKUP(A70,SKILLED!$A:$J,10,0)</f>
        <v>46151</v>
      </c>
      <c r="D70" s="2"/>
      <c r="I70" s="6" t="s">
        <v>154</v>
      </c>
      <c r="J70" s="16">
        <f>VLOOKUP(I70,UNSKILLED!$A:$J,9,0)</f>
        <v>45968</v>
      </c>
      <c r="K70" s="39">
        <f>VLOOKUP(I70,UNSKILLED!$A:$J,10,0)</f>
        <v>46173</v>
      </c>
      <c r="L70" s="2"/>
    </row>
    <row r="71" spans="1:12">
      <c r="A71" s="3" t="s">
        <v>188</v>
      </c>
      <c r="B71" s="16">
        <f>VLOOKUP(A71,SKILLED!A:I,9,0)</f>
        <v>45972</v>
      </c>
      <c r="C71" s="16">
        <f>VLOOKUP(A71,SKILLED!$A:$J,10,0)</f>
        <v>46153</v>
      </c>
      <c r="D71" s="274"/>
      <c r="I71" s="3" t="s">
        <v>1055</v>
      </c>
      <c r="J71" s="39">
        <f>VLOOKUP(I71,UNSKILLED!$A:$J,9,0)</f>
        <v>45986</v>
      </c>
      <c r="K71" s="39">
        <f>VLOOKUP(I71,UNSKILLED!$A:$J,10,0)</f>
        <v>46173</v>
      </c>
      <c r="L71" s="2"/>
    </row>
    <row r="72" spans="1:12">
      <c r="A72" s="3" t="s">
        <v>205</v>
      </c>
      <c r="B72" s="16">
        <f>VLOOKUP(A72,SKILLED!A:I,9,0)</f>
        <v>45974</v>
      </c>
      <c r="C72" s="16">
        <f>VLOOKUP(A72,SKILLED!$A:$J,10,0)</f>
        <v>46155</v>
      </c>
      <c r="D72" s="2"/>
      <c r="I72" s="345" t="s">
        <v>1114</v>
      </c>
      <c r="J72" s="39">
        <f>VLOOKUP(I72,UNSKILLED!$A:$J,9,0)</f>
        <v>46028</v>
      </c>
      <c r="K72" s="39">
        <f>VLOOKUP(I72,UNSKILLED!$A:$J,10,0)</f>
        <v>46173</v>
      </c>
      <c r="L72" s="2"/>
    </row>
    <row r="73" spans="1:12">
      <c r="A73" s="6" t="s">
        <v>163</v>
      </c>
      <c r="B73" s="16">
        <f>VLOOKUP(A73,SKILLED!A:I,9,0)</f>
        <v>45975</v>
      </c>
      <c r="C73" s="16">
        <f>VLOOKUP(A73,SKILLED!$A:$J,10,0)</f>
        <v>46156</v>
      </c>
      <c r="D73" s="2"/>
      <c r="I73" s="142" t="s">
        <v>240</v>
      </c>
      <c r="J73" s="39">
        <f>VLOOKUP(I73,UNSKILLED!$A:$J,9,0)</f>
        <v>45979</v>
      </c>
      <c r="K73" s="39">
        <f>VLOOKUP(I73,UNSKILLED!$A:$J,10,0)</f>
        <v>46174</v>
      </c>
      <c r="L73" s="2"/>
    </row>
    <row r="74" spans="1:12">
      <c r="A74" s="85" t="s">
        <v>849</v>
      </c>
      <c r="B74" s="82">
        <f>VLOOKUP(A74,SKILLED!A:I,9,0)</f>
        <v>46017</v>
      </c>
      <c r="C74" s="82">
        <f>VLOOKUP(A74,SKILLED!$A:$J,10,0)</f>
        <v>46157</v>
      </c>
      <c r="D74" s="2"/>
      <c r="I74" s="3" t="s">
        <v>1079</v>
      </c>
      <c r="J74" s="39">
        <f>VLOOKUP(I74,UNSKILLED!$A:$J,9,0)</f>
        <v>45998</v>
      </c>
      <c r="K74" s="39">
        <f>VLOOKUP(I74,UNSKILLED!$A:$J,10,0)</f>
        <v>46201</v>
      </c>
      <c r="L74" s="2"/>
    </row>
    <row r="75" spans="1:12">
      <c r="A75" s="3" t="s">
        <v>232</v>
      </c>
      <c r="B75" s="16">
        <f>VLOOKUP(A75,SKILLED!A:I,9,0)</f>
        <v>45978</v>
      </c>
      <c r="C75" s="16">
        <f>VLOOKUP(A75,SKILLED!$A:$J,10,0)</f>
        <v>46158</v>
      </c>
      <c r="D75" s="2"/>
      <c r="I75" s="3" t="s">
        <v>678</v>
      </c>
      <c r="J75" s="39">
        <f>VLOOKUP(I75,UNSKILLED!$A:$J,9,0)</f>
        <v>46014</v>
      </c>
      <c r="K75" s="39">
        <f>VLOOKUP(I75,UNSKILLED!$A:$J,10,0)</f>
        <v>46203</v>
      </c>
      <c r="L75" s="2" t="s">
        <v>1113</v>
      </c>
    </row>
    <row r="76" spans="1:12">
      <c r="A76" s="46" t="s">
        <v>250</v>
      </c>
      <c r="B76" s="16">
        <f>VLOOKUP(A76,SKILLED!A:I,9,0)</f>
        <v>45973</v>
      </c>
      <c r="C76" s="16">
        <f>VLOOKUP(A76,SKILLED!$A:$J,10,0)</f>
        <v>46160</v>
      </c>
      <c r="D76" s="2"/>
      <c r="I76" s="46" t="s">
        <v>215</v>
      </c>
      <c r="J76" s="82">
        <f>VLOOKUP(I76,UNSKILLED!$A:$J,9,0)</f>
        <v>46023</v>
      </c>
      <c r="K76" s="39">
        <f>VLOOKUP(I76,UNSKILLED!$A:$J,10,0)</f>
        <v>46203</v>
      </c>
      <c r="L76" s="2"/>
    </row>
    <row r="77" spans="1:12">
      <c r="A77" s="3" t="s">
        <v>225</v>
      </c>
      <c r="B77" s="16">
        <f>VLOOKUP(A77,SKILLED!A:I,9,0)</f>
        <v>45975</v>
      </c>
      <c r="C77" s="16">
        <f>VLOOKUP(A77,SKILLED!$A:$J,10,0)</f>
        <v>46161</v>
      </c>
      <c r="D77" s="2"/>
      <c r="I77" s="51" t="s">
        <v>336</v>
      </c>
      <c r="J77" s="39">
        <f>VLOOKUP(I77,UNSKILLED!$A:$J,9,0)</f>
        <v>46035</v>
      </c>
      <c r="K77" s="39">
        <f>VLOOKUP(I77,UNSKILLED!$A:$J,10,0)</f>
        <v>46203</v>
      </c>
      <c r="L77" s="2"/>
    </row>
    <row r="78" spans="1:12">
      <c r="A78" s="3" t="s">
        <v>617</v>
      </c>
      <c r="B78" s="16">
        <f>VLOOKUP(A78,SKILLED!A:I,9,0)</f>
        <v>45963</v>
      </c>
      <c r="C78" s="16">
        <f>VLOOKUP(A78,SKILLED!$A:$J,10,0)</f>
        <v>46164</v>
      </c>
      <c r="D78" s="2"/>
      <c r="I78" s="46" t="s">
        <v>208</v>
      </c>
      <c r="J78" s="82">
        <f>VLOOKUP(I78,UNSKILLED!$A:$J,9,0)</f>
        <v>46023</v>
      </c>
      <c r="K78" s="39">
        <f>VLOOKUP(I78,UNSKILLED!$A:$J,10,0)</f>
        <v>46203</v>
      </c>
      <c r="L78" s="154"/>
    </row>
    <row r="79" spans="1:12">
      <c r="A79" s="3" t="s">
        <v>174</v>
      </c>
      <c r="B79" s="16">
        <f>VLOOKUP(A79,SKILLED!A:I,9,0)</f>
        <v>45986</v>
      </c>
      <c r="C79" s="16">
        <f>VLOOKUP(A79,SKILLED!$A:$J,10,0)</f>
        <v>46169</v>
      </c>
      <c r="D79" s="118"/>
      <c r="I79" s="51" t="s">
        <v>78</v>
      </c>
      <c r="J79" s="16">
        <f>VLOOKUP(I79,UNSKILLED!$A:$J,9,0)</f>
        <v>45992</v>
      </c>
      <c r="K79" s="39">
        <f>VLOOKUP(I79,UNSKILLED!$A:$J,10,0)</f>
        <v>46203</v>
      </c>
      <c r="L79" s="2"/>
    </row>
    <row r="80" spans="1:12">
      <c r="A80" s="3" t="s">
        <v>222</v>
      </c>
      <c r="B80" s="16">
        <f>VLOOKUP(A80,SKILLED!A:I,9,0)</f>
        <v>45973</v>
      </c>
      <c r="C80" s="16">
        <f>VLOOKUP(A80,SKILLED!$A:$J,10,0)</f>
        <v>46171</v>
      </c>
      <c r="D80" s="274"/>
      <c r="I80" s="142" t="s">
        <v>166</v>
      </c>
      <c r="J80" s="39">
        <f>VLOOKUP(I80,UNSKILLED!$A:$J,9,0)</f>
        <v>46027</v>
      </c>
      <c r="K80" s="39">
        <f>VLOOKUP(I80,UNSKILLED!$A:$J,10,0)</f>
        <v>46203</v>
      </c>
      <c r="L80" s="2"/>
    </row>
    <row r="81" spans="1:12">
      <c r="A81" s="51" t="s">
        <v>208</v>
      </c>
      <c r="B81" s="16">
        <f>VLOOKUP(A81,SKILLED!A:I,9,0)</f>
        <v>46024</v>
      </c>
      <c r="C81" s="16">
        <f>VLOOKUP(A81,SKILLED!$A:$J,10,0)</f>
        <v>46172</v>
      </c>
      <c r="D81" s="75"/>
      <c r="I81" s="347" t="s">
        <v>1110</v>
      </c>
      <c r="J81" s="39">
        <f>VLOOKUP(I81,UNSKILLED!$A:$J,9,0)</f>
        <v>46027</v>
      </c>
      <c r="K81" s="39">
        <f>VLOOKUP(I81,UNSKILLED!$A:$J,10,0)</f>
        <v>46203</v>
      </c>
      <c r="L81" s="2"/>
    </row>
    <row r="82" spans="1:12">
      <c r="A82" s="3" t="s">
        <v>622</v>
      </c>
      <c r="B82" s="16">
        <f>VLOOKUP(A82,SKILLED!A:I,9,0)</f>
        <v>46023</v>
      </c>
      <c r="C82" s="16">
        <f>VLOOKUP(A82,SKILLED!$A:$J,10,0)</f>
        <v>46172</v>
      </c>
      <c r="D82" s="2"/>
      <c r="I82" s="249" t="s">
        <v>101</v>
      </c>
      <c r="J82" s="39">
        <f>VLOOKUP(I82,UNSKILLED!$A:$J,9,0)</f>
        <v>46013</v>
      </c>
      <c r="K82" s="39">
        <f>VLOOKUP(I82,UNSKILLED!$A:$J,10,0)</f>
        <v>46234</v>
      </c>
      <c r="L82" s="2"/>
    </row>
    <row r="83" spans="1:12">
      <c r="A83" s="3" t="s">
        <v>231</v>
      </c>
      <c r="B83" s="16">
        <f>VLOOKUP(A83,SKILLED!A:I,9,0)</f>
        <v>46023</v>
      </c>
      <c r="C83" s="16">
        <f>VLOOKUP(A83,SKILLED!$A:$J,10,0)</f>
        <v>46174</v>
      </c>
      <c r="D83" s="2" t="s">
        <v>1113</v>
      </c>
      <c r="L83" s="388"/>
    </row>
    <row r="84" spans="1:12">
      <c r="A84" s="19" t="s">
        <v>852</v>
      </c>
      <c r="B84" s="82">
        <f>VLOOKUP(A84,SKILLED!A:I,9,0)</f>
        <v>45995</v>
      </c>
      <c r="C84" s="82">
        <f>VLOOKUP(A84,SKILLED!$A:$J,10,0)</f>
        <v>46177</v>
      </c>
      <c r="D84" s="2"/>
    </row>
    <row r="85" spans="1:12">
      <c r="A85" s="3" t="s">
        <v>57</v>
      </c>
      <c r="B85" s="16">
        <f>VLOOKUP(A85,SKILLED!A:I,9,0)</f>
        <v>46002</v>
      </c>
      <c r="C85" s="16">
        <f>VLOOKUP(A85,SKILLED!$A:$J,10,0)</f>
        <v>46184</v>
      </c>
      <c r="D85" s="2"/>
      <c r="I85" s="3"/>
      <c r="J85" s="39"/>
      <c r="K85" s="39"/>
      <c r="L85" s="2"/>
    </row>
    <row r="86" spans="1:12">
      <c r="A86" s="3" t="s">
        <v>50</v>
      </c>
      <c r="B86" s="16">
        <f>VLOOKUP(A86,SKILLED!A:I,9,0)</f>
        <v>45996</v>
      </c>
      <c r="C86" s="16">
        <f>VLOOKUP(A86,SKILLED!$A:$J,10,0)</f>
        <v>46185</v>
      </c>
      <c r="D86" s="2"/>
    </row>
    <row r="87" spans="1:12">
      <c r="A87" s="46" t="s">
        <v>135</v>
      </c>
      <c r="B87" s="16">
        <f>VLOOKUP(A87,SKILLED!A:I,9,0)</f>
        <v>46009</v>
      </c>
      <c r="C87" s="16">
        <f>VLOOKUP(A87,SKILLED!$A:$J,10,0)</f>
        <v>46189</v>
      </c>
      <c r="D87" s="2"/>
    </row>
    <row r="88" spans="1:12">
      <c r="A88" s="46" t="s">
        <v>298</v>
      </c>
      <c r="B88" s="16">
        <f>VLOOKUP(A88,SKILLED!A:I,9,0)</f>
        <v>46009</v>
      </c>
      <c r="C88" s="16">
        <f>VLOOKUP(A88,SKILLED!$A:$J,10,0)</f>
        <v>46189</v>
      </c>
      <c r="D88" s="2"/>
    </row>
    <row r="89" spans="1:12">
      <c r="A89" s="3" t="s">
        <v>935</v>
      </c>
      <c r="B89" s="16">
        <f>VLOOKUP(A89,SKILLED!A:I,9,0)</f>
        <v>46007</v>
      </c>
      <c r="C89" s="16">
        <f>VLOOKUP(A89,SKILLED!$A:$J,10,0)</f>
        <v>46190</v>
      </c>
      <c r="D89" s="2"/>
    </row>
    <row r="90" spans="1:12">
      <c r="A90" s="3" t="s">
        <v>73</v>
      </c>
      <c r="B90" s="16">
        <f>VLOOKUP(A90,SKILLED!A:I,9,0)</f>
        <v>46013</v>
      </c>
      <c r="C90" s="16">
        <f>VLOOKUP(A90,SKILLED!$A:$J,10,0)</f>
        <v>46191</v>
      </c>
      <c r="D90" s="388"/>
    </row>
    <row r="91" spans="1:12">
      <c r="A91" s="221" t="s">
        <v>170</v>
      </c>
      <c r="B91" s="82">
        <f>VLOOKUP(A91,SKILLED!A:I,9,0)</f>
        <v>46006</v>
      </c>
      <c r="C91" s="82">
        <f>VLOOKUP(A91,SKILLED!$A:$J,10,0)</f>
        <v>46192</v>
      </c>
      <c r="D91" s="2"/>
    </row>
    <row r="92" spans="1:12">
      <c r="A92" s="3" t="s">
        <v>997</v>
      </c>
      <c r="B92" s="16">
        <f>VLOOKUP(A92,SKILLED!A:I,9,0)</f>
        <v>46015</v>
      </c>
      <c r="C92" s="16">
        <f>VLOOKUP(A92,SKILLED!$A:$J,10,0)</f>
        <v>46197</v>
      </c>
      <c r="D92" s="39"/>
    </row>
    <row r="93" spans="1:12">
      <c r="A93" s="3" t="s">
        <v>825</v>
      </c>
      <c r="B93" s="16">
        <f>VLOOKUP(A93,SKILLED!A:I,9,0)</f>
        <v>46027</v>
      </c>
      <c r="C93" s="16">
        <f>VLOOKUP(A93,SKILLED!$A:$J,10,0)</f>
        <v>46201</v>
      </c>
      <c r="D93" s="2"/>
    </row>
    <row r="94" spans="1:12">
      <c r="A94" s="271" t="s">
        <v>848</v>
      </c>
      <c r="B94" s="16">
        <f>VLOOKUP(A94,SKILLED!A:I,9,0)</f>
        <v>46020</v>
      </c>
      <c r="C94" s="16">
        <f>VLOOKUP(A94,SKILLED!$A:$J,10,0)</f>
        <v>46201</v>
      </c>
      <c r="D94" s="274"/>
    </row>
    <row r="95" spans="1:12">
      <c r="A95" s="3" t="s">
        <v>1100</v>
      </c>
      <c r="B95" s="16">
        <f>VLOOKUP(A95,SKILLED!A:I,9,0)</f>
        <v>46020</v>
      </c>
      <c r="C95" s="16">
        <f>VLOOKUP(A95,SKILLED!$A:$J,10,0)</f>
        <v>46202</v>
      </c>
      <c r="D95" s="274"/>
    </row>
    <row r="96" spans="1:12">
      <c r="A96" s="46" t="s">
        <v>828</v>
      </c>
      <c r="B96" s="16">
        <f>VLOOKUP(A96,SKILLED!A:I,9,0)</f>
        <v>46022</v>
      </c>
      <c r="C96" s="16">
        <f>VLOOKUP(A96,SKILLED!$A:$J,10,0)</f>
        <v>46203</v>
      </c>
      <c r="D96" s="2" t="s">
        <v>1102</v>
      </c>
    </row>
    <row r="97" spans="1:4">
      <c r="A97" s="3" t="s">
        <v>886</v>
      </c>
      <c r="B97" s="16">
        <f>VLOOKUP(A97,SKILLED!A:I,9,0)</f>
        <v>46017</v>
      </c>
      <c r="C97" s="16">
        <f>VLOOKUP(A97,SKILLED!$A:$J,10,0)</f>
        <v>46204</v>
      </c>
      <c r="D97" s="39"/>
    </row>
    <row r="98" spans="1:4">
      <c r="A98" s="3" t="s">
        <v>211</v>
      </c>
      <c r="B98" s="16">
        <f>VLOOKUP(A98,SKILLED!A:I,9,0)</f>
        <v>46029</v>
      </c>
      <c r="C98" s="16">
        <f>VLOOKUP(A98,SKILLED!$A:$J,10,0)</f>
        <v>46209</v>
      </c>
      <c r="D98" s="2" t="s">
        <v>1113</v>
      </c>
    </row>
    <row r="99" spans="1:4">
      <c r="A99" s="3" t="s">
        <v>293</v>
      </c>
      <c r="B99" s="16">
        <f>VLOOKUP(A99,SKILLED!A:I,9,0)</f>
        <v>46031</v>
      </c>
      <c r="C99" s="16">
        <f>VLOOKUP(A99,SKILLED!$A:$J,10,0)</f>
        <v>46211</v>
      </c>
      <c r="D99" s="42"/>
    </row>
    <row r="100" spans="1:4">
      <c r="A100" s="3" t="s">
        <v>284</v>
      </c>
      <c r="B100" s="16">
        <f>VLOOKUP(A100,SKILLED!A:I,9,0)</f>
        <v>46031</v>
      </c>
      <c r="C100" s="16" t="str">
        <f>VLOOKUP(A100,SKILLED!$A:$J,10,0)</f>
        <v>07/11/226</v>
      </c>
      <c r="D100" s="388"/>
    </row>
  </sheetData>
  <autoFilter ref="I1:L1" xr:uid="{00000000-0001-0000-0300-000000000000}">
    <sortState xmlns:xlrd2="http://schemas.microsoft.com/office/spreadsheetml/2017/richdata2" ref="I2:L82">
      <sortCondition ref="K1"/>
    </sortState>
  </autoFilter>
  <sortState xmlns:xlrd2="http://schemas.microsoft.com/office/spreadsheetml/2017/richdata2" ref="A2:D88">
    <sortCondition ref="C2:C88"/>
  </sortState>
  <conditionalFormatting sqref="A2">
    <cfRule type="duplicateValues" dxfId="22" priority="27"/>
  </conditionalFormatting>
  <conditionalFormatting sqref="A72:A75 A106:A1048576 A91 A85 A81:A83 A1:A70">
    <cfRule type="duplicateValues" dxfId="21" priority="91"/>
  </conditionalFormatting>
  <conditionalFormatting sqref="A79">
    <cfRule type="duplicateValues" dxfId="20" priority="8"/>
    <cfRule type="duplicateValues" dxfId="19" priority="9"/>
  </conditionalFormatting>
  <conditionalFormatting sqref="A85 A56:A58 A1 A106:A1048576 A91 A81:A83 A72:A75 A70 A62:A66 A3:A54">
    <cfRule type="duplicateValues" dxfId="18" priority="47"/>
  </conditionalFormatting>
  <conditionalFormatting sqref="A87">
    <cfRule type="duplicateValues" dxfId="17" priority="6"/>
    <cfRule type="duplicateValues" dxfId="16" priority="7"/>
  </conditionalFormatting>
  <conditionalFormatting sqref="I9">
    <cfRule type="duplicateValues" dxfId="15" priority="252"/>
  </conditionalFormatting>
  <conditionalFormatting sqref="I10">
    <cfRule type="duplicateValues" dxfId="14" priority="253"/>
  </conditionalFormatting>
  <conditionalFormatting sqref="I20:I23">
    <cfRule type="duplicateValues" dxfId="13" priority="15"/>
  </conditionalFormatting>
  <conditionalFormatting sqref="I22:I24">
    <cfRule type="duplicateValues" dxfId="12" priority="63"/>
  </conditionalFormatting>
  <conditionalFormatting sqref="I35:I36">
    <cfRule type="duplicateValues" dxfId="11" priority="11"/>
    <cfRule type="duplicateValues" dxfId="10" priority="12"/>
  </conditionalFormatting>
  <conditionalFormatting sqref="I57:I58">
    <cfRule type="duplicateValues" dxfId="9" priority="4"/>
    <cfRule type="duplicateValues" dxfId="8" priority="5"/>
  </conditionalFormatting>
  <conditionalFormatting sqref="I61:I62">
    <cfRule type="duplicateValues" dxfId="7" priority="2"/>
    <cfRule type="duplicateValues" dxfId="6" priority="3"/>
  </conditionalFormatting>
  <conditionalFormatting sqref="I63:I69 I32:I35 I87:I1048576 I85 I80:I81 I71:I75 I44:I51 I39:I41 I1:I28">
    <cfRule type="duplicateValues" dxfId="5" priority="226"/>
  </conditionalFormatting>
  <conditionalFormatting sqref="I63:I69 I44:I51 I87:I1048576 I85 I80:I81 I71:I75 I1:I41">
    <cfRule type="duplicateValues" dxfId="4" priority="235"/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8"/>
  <sheetViews>
    <sheetView workbookViewId="0">
      <selection activeCell="G39" sqref="G39"/>
    </sheetView>
  </sheetViews>
  <sheetFormatPr defaultRowHeight="14.5"/>
  <cols>
    <col min="1" max="1" width="24.08984375" customWidth="1"/>
    <col min="2" max="2" width="23.36328125" customWidth="1"/>
    <col min="3" max="3" width="33.90625" style="1" customWidth="1"/>
    <col min="5" max="5" width="11" customWidth="1"/>
    <col min="6" max="6" width="10.54296875" customWidth="1"/>
    <col min="7" max="7" width="15.54296875" customWidth="1"/>
    <col min="8" max="8" width="14.08984375" customWidth="1"/>
  </cols>
  <sheetData>
    <row r="1" spans="1:8">
      <c r="A1" s="35" t="s">
        <v>376</v>
      </c>
      <c r="B1" s="2" t="s">
        <v>377</v>
      </c>
      <c r="C1" s="2" t="s">
        <v>378</v>
      </c>
      <c r="E1" s="37"/>
      <c r="F1" s="1"/>
      <c r="G1" s="1"/>
    </row>
    <row r="2" spans="1:8">
      <c r="A2" s="3" t="s">
        <v>379</v>
      </c>
      <c r="B2" s="34" t="s">
        <v>380</v>
      </c>
      <c r="C2" s="2">
        <v>7003</v>
      </c>
      <c r="F2" s="38"/>
      <c r="G2" s="1"/>
    </row>
    <row r="3" spans="1:8">
      <c r="A3" s="3" t="s">
        <v>381</v>
      </c>
      <c r="B3" s="34" t="s">
        <v>382</v>
      </c>
      <c r="C3" s="2">
        <v>7006</v>
      </c>
      <c r="F3" s="38"/>
      <c r="G3" s="1"/>
    </row>
    <row r="4" spans="1:8">
      <c r="A4" s="3" t="s">
        <v>383</v>
      </c>
      <c r="B4" s="34" t="s">
        <v>66</v>
      </c>
      <c r="C4" s="2">
        <v>7017</v>
      </c>
      <c r="F4" s="38"/>
      <c r="G4" s="1"/>
    </row>
    <row r="5" spans="1:8">
      <c r="A5" s="3" t="s">
        <v>384</v>
      </c>
      <c r="B5" s="34" t="s">
        <v>26</v>
      </c>
      <c r="C5" s="2">
        <v>5940</v>
      </c>
      <c r="F5" s="38"/>
      <c r="G5" s="1"/>
    </row>
    <row r="6" spans="1:8">
      <c r="A6" s="3" t="s">
        <v>385</v>
      </c>
      <c r="B6" s="34" t="s">
        <v>386</v>
      </c>
      <c r="C6" s="2">
        <v>7011</v>
      </c>
      <c r="F6" s="38"/>
      <c r="G6" s="1"/>
    </row>
    <row r="7" spans="1:8">
      <c r="A7" s="3" t="s">
        <v>387</v>
      </c>
      <c r="B7" s="34" t="s">
        <v>388</v>
      </c>
      <c r="C7" s="2">
        <v>7046</v>
      </c>
      <c r="F7" s="38"/>
      <c r="G7" s="1"/>
    </row>
    <row r="8" spans="1:8">
      <c r="A8" s="3" t="s">
        <v>389</v>
      </c>
      <c r="B8" s="34" t="s">
        <v>390</v>
      </c>
      <c r="C8" s="2">
        <v>8061</v>
      </c>
      <c r="F8" s="38"/>
      <c r="G8" s="1"/>
      <c r="H8" s="28"/>
    </row>
    <row r="9" spans="1:8">
      <c r="A9" s="3" t="s">
        <v>391</v>
      </c>
      <c r="B9" s="34" t="s">
        <v>392</v>
      </c>
      <c r="C9" s="2" t="s">
        <v>393</v>
      </c>
      <c r="F9" s="38"/>
      <c r="G9" s="1"/>
    </row>
    <row r="10" spans="1:8">
      <c r="A10" s="3" t="s">
        <v>394</v>
      </c>
      <c r="B10" s="34" t="s">
        <v>395</v>
      </c>
      <c r="C10" s="2"/>
      <c r="F10" s="38"/>
      <c r="G10" s="1"/>
    </row>
    <row r="11" spans="1:8">
      <c r="A11" s="3" t="s">
        <v>396</v>
      </c>
      <c r="B11" s="34" t="s">
        <v>397</v>
      </c>
      <c r="C11" s="2"/>
      <c r="F11" s="38"/>
      <c r="G11" s="1"/>
    </row>
    <row r="12" spans="1:8">
      <c r="A12" s="3" t="s">
        <v>398</v>
      </c>
      <c r="B12" s="34" t="s">
        <v>399</v>
      </c>
      <c r="C12" s="2"/>
      <c r="F12" s="38"/>
      <c r="G12" s="1"/>
    </row>
    <row r="13" spans="1:8">
      <c r="A13" s="3" t="s">
        <v>400</v>
      </c>
      <c r="B13" s="34" t="s">
        <v>401</v>
      </c>
      <c r="C13" s="2" t="s">
        <v>402</v>
      </c>
      <c r="F13" s="38"/>
      <c r="G13" s="1"/>
    </row>
    <row r="14" spans="1:8">
      <c r="A14" s="3" t="s">
        <v>403</v>
      </c>
      <c r="B14" s="34" t="s">
        <v>20</v>
      </c>
      <c r="C14" s="2"/>
      <c r="F14" s="38"/>
      <c r="G14" s="1"/>
    </row>
    <row r="15" spans="1:8">
      <c r="A15" s="3" t="s">
        <v>404</v>
      </c>
      <c r="B15" s="34" t="s">
        <v>405</v>
      </c>
      <c r="C15" s="2" t="s">
        <v>406</v>
      </c>
      <c r="F15" s="38"/>
      <c r="G15" s="1"/>
    </row>
    <row r="16" spans="1:8">
      <c r="A16" s="3" t="s">
        <v>407</v>
      </c>
      <c r="B16" s="34" t="s">
        <v>408</v>
      </c>
      <c r="C16" s="2"/>
      <c r="F16" s="38"/>
      <c r="G16" s="1"/>
    </row>
    <row r="17" spans="1:7">
      <c r="B17" s="36"/>
      <c r="F17" s="38"/>
      <c r="G17" s="1"/>
    </row>
    <row r="18" spans="1:7">
      <c r="A18" s="353" t="s">
        <v>409</v>
      </c>
      <c r="B18" s="354"/>
      <c r="C18" s="355"/>
      <c r="E18" s="352"/>
      <c r="F18" s="352"/>
      <c r="G18" s="352"/>
    </row>
    <row r="19" spans="1:7">
      <c r="A19" s="3" t="s">
        <v>99</v>
      </c>
      <c r="B19" s="3" t="s">
        <v>410</v>
      </c>
      <c r="C19" s="2" t="s">
        <v>91</v>
      </c>
      <c r="G19" s="1"/>
    </row>
    <row r="20" spans="1:7">
      <c r="A20" s="3" t="s">
        <v>93</v>
      </c>
      <c r="B20" s="3" t="s">
        <v>96</v>
      </c>
      <c r="C20" s="2"/>
      <c r="G20" s="1"/>
    </row>
    <row r="21" spans="1:7">
      <c r="A21" s="3" t="s">
        <v>94</v>
      </c>
      <c r="B21" s="3" t="s">
        <v>97</v>
      </c>
      <c r="C21" s="2"/>
      <c r="G21" s="1"/>
    </row>
    <row r="25" spans="1:7">
      <c r="A25" s="64"/>
      <c r="C25"/>
    </row>
    <row r="26" spans="1:7" ht="15.5">
      <c r="A26" s="65" t="s">
        <v>411</v>
      </c>
      <c r="B26" s="65" t="s">
        <v>412</v>
      </c>
      <c r="C26" s="65" t="s">
        <v>413</v>
      </c>
      <c r="D26" s="94" t="s">
        <v>414</v>
      </c>
      <c r="E26" s="94" t="s">
        <v>414</v>
      </c>
    </row>
    <row r="27" spans="1:7">
      <c r="A27" s="66">
        <v>45292</v>
      </c>
      <c r="B27" s="67" t="s">
        <v>421</v>
      </c>
      <c r="C27" s="68" t="s">
        <v>415</v>
      </c>
      <c r="D27" s="33" t="s">
        <v>416</v>
      </c>
      <c r="E27" s="33" t="s">
        <v>417</v>
      </c>
      <c r="F27" s="33" t="s">
        <v>1004</v>
      </c>
      <c r="G27" s="33" t="s">
        <v>1005</v>
      </c>
    </row>
    <row r="28" spans="1:7">
      <c r="A28" s="66">
        <v>45803</v>
      </c>
      <c r="B28" s="67" t="s">
        <v>149</v>
      </c>
      <c r="C28" s="68" t="s">
        <v>99</v>
      </c>
      <c r="D28" s="33" t="s">
        <v>416</v>
      </c>
      <c r="E28" s="33" t="s">
        <v>417</v>
      </c>
      <c r="F28" s="33" t="s">
        <v>1004</v>
      </c>
      <c r="G28" s="33" t="s">
        <v>1005</v>
      </c>
    </row>
    <row r="29" spans="1:7">
      <c r="A29" s="66">
        <v>45477</v>
      </c>
      <c r="B29" s="67" t="s">
        <v>82</v>
      </c>
      <c r="C29" s="68" t="s">
        <v>419</v>
      </c>
      <c r="D29" s="33" t="s">
        <v>416</v>
      </c>
      <c r="E29" s="33" t="s">
        <v>417</v>
      </c>
      <c r="F29" s="33" t="s">
        <v>1004</v>
      </c>
      <c r="G29" s="33" t="s">
        <v>1005</v>
      </c>
    </row>
    <row r="30" spans="1:7">
      <c r="A30" s="66">
        <v>45901</v>
      </c>
      <c r="B30" s="67" t="s">
        <v>149</v>
      </c>
      <c r="C30" s="68" t="s">
        <v>91</v>
      </c>
      <c r="D30" s="33" t="s">
        <v>416</v>
      </c>
      <c r="E30" s="33" t="s">
        <v>417</v>
      </c>
      <c r="F30" s="33" t="s">
        <v>1004</v>
      </c>
      <c r="G30" s="33" t="s">
        <v>1005</v>
      </c>
    </row>
    <row r="31" spans="1:7">
      <c r="A31" s="66">
        <v>45988</v>
      </c>
      <c r="B31" s="67" t="s">
        <v>418</v>
      </c>
      <c r="C31" s="68" t="s">
        <v>93</v>
      </c>
      <c r="D31" s="33" t="s">
        <v>416</v>
      </c>
      <c r="E31" s="33" t="s">
        <v>417</v>
      </c>
      <c r="F31" s="33" t="s">
        <v>1004</v>
      </c>
      <c r="G31" s="33" t="s">
        <v>1005</v>
      </c>
    </row>
    <row r="32" spans="1:7" ht="18" customHeight="1">
      <c r="A32" s="66">
        <v>45989</v>
      </c>
      <c r="B32" s="67" t="s">
        <v>82</v>
      </c>
      <c r="C32" s="68" t="s">
        <v>420</v>
      </c>
      <c r="D32" s="33"/>
      <c r="E32" s="33"/>
      <c r="F32" s="33"/>
      <c r="G32" s="33"/>
    </row>
    <row r="33" spans="1:7">
      <c r="A33" s="66">
        <v>45651</v>
      </c>
      <c r="B33" s="67" t="s">
        <v>418</v>
      </c>
      <c r="C33" s="68" t="s">
        <v>96</v>
      </c>
      <c r="D33" s="33" t="s">
        <v>416</v>
      </c>
      <c r="E33" s="33" t="s">
        <v>417</v>
      </c>
      <c r="F33" s="33" t="s">
        <v>1004</v>
      </c>
      <c r="G33" s="33" t="s">
        <v>1005</v>
      </c>
    </row>
    <row r="34" spans="1:7">
      <c r="B34" s="38"/>
    </row>
    <row r="35" spans="1:7">
      <c r="B35" s="38"/>
    </row>
    <row r="36" spans="1:7">
      <c r="B36" s="38"/>
    </row>
    <row r="37" spans="1:7">
      <c r="B37" s="38"/>
    </row>
    <row r="38" spans="1:7">
      <c r="A38" s="352"/>
      <c r="B38" s="352"/>
      <c r="C38" s="352"/>
    </row>
  </sheetData>
  <mergeCells count="3">
    <mergeCell ref="A18:C18"/>
    <mergeCell ref="E18:G18"/>
    <mergeCell ref="A38:C38"/>
  </mergeCells>
  <hyperlinks>
    <hyperlink ref="B2" r:id="rId1" xr:uid="{00000000-0004-0000-0500-000000000000}"/>
    <hyperlink ref="B3" r:id="rId2" xr:uid="{00000000-0004-0000-0500-000001000000}"/>
    <hyperlink ref="B4" r:id="rId3" xr:uid="{00000000-0004-0000-0500-000002000000}"/>
    <hyperlink ref="B5" r:id="rId4" xr:uid="{00000000-0004-0000-0500-000003000000}"/>
    <hyperlink ref="B6" r:id="rId5" xr:uid="{00000000-0004-0000-0500-000004000000}"/>
    <hyperlink ref="B7" r:id="rId6" xr:uid="{00000000-0004-0000-0500-000005000000}"/>
    <hyperlink ref="B8" r:id="rId7" xr:uid="{00000000-0004-0000-0500-000006000000}"/>
    <hyperlink ref="B9" r:id="rId8" xr:uid="{00000000-0004-0000-0500-000007000000}"/>
    <hyperlink ref="B11" r:id="rId9" xr:uid="{00000000-0004-0000-0500-000008000000}"/>
    <hyperlink ref="B12" r:id="rId10" xr:uid="{00000000-0004-0000-0500-000009000000}"/>
    <hyperlink ref="B13" r:id="rId11" xr:uid="{00000000-0004-0000-0500-00000A000000}"/>
    <hyperlink ref="B14" r:id="rId12" xr:uid="{00000000-0004-0000-0500-00000B000000}"/>
    <hyperlink ref="B15" r:id="rId13" xr:uid="{00000000-0004-0000-0500-00000C000000}"/>
    <hyperlink ref="B16" r:id="rId14" xr:uid="{00000000-0004-0000-0500-00000D000000}"/>
    <hyperlink ref="B10" r:id="rId15" xr:uid="{00000000-0004-0000-0500-00000E000000}"/>
    <hyperlink ref="C33" r:id="rId16" display="https://www.federalholidays.net/usa/holiday/christmas-day.html" xr:uid="{00000000-0004-0000-0500-00000F000000}"/>
    <hyperlink ref="C31" r:id="rId17" display="https://www.federalholidays.net/usa/holiday/thanksgiving-day.html" xr:uid="{00000000-0004-0000-0500-000010000000}"/>
    <hyperlink ref="C30" r:id="rId18" display="https://www.federalholidays.net/usa/holiday/labor-day.html" xr:uid="{00000000-0004-0000-0500-000011000000}"/>
    <hyperlink ref="C29" r:id="rId19" display="https://www.federalholidays.net/usa/holiday/independence-day.html" xr:uid="{00000000-0004-0000-0500-000012000000}"/>
    <hyperlink ref="C28" r:id="rId20" display="https://www.federalholidays.net/usa/holiday/memorial-day.html" xr:uid="{00000000-0004-0000-0500-000013000000}"/>
    <hyperlink ref="C27" r:id="rId21" display="https://www.federalholidays.net/usa/holiday/new-years-day.html" xr:uid="{00000000-0004-0000-0500-000014000000}"/>
  </hyperlinks>
  <pageMargins left="0.7" right="0.7" top="0.75" bottom="0.75" header="0.3" footer="0.3"/>
  <pageSetup orientation="portrait" horizontalDpi="300" verticalDpi="300" r:id="rId2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63"/>
  <sheetViews>
    <sheetView workbookViewId="0">
      <selection activeCell="C27" sqref="C27"/>
    </sheetView>
  </sheetViews>
  <sheetFormatPr defaultRowHeight="14.5"/>
  <cols>
    <col min="1" max="1" width="28.36328125" customWidth="1"/>
    <col min="2" max="2" width="28.54296875" customWidth="1"/>
    <col min="3" max="3" width="27.90625" customWidth="1"/>
    <col min="4" max="4" width="31.453125" customWidth="1"/>
    <col min="7" max="7" width="15.36328125" bestFit="1" customWidth="1"/>
  </cols>
  <sheetData>
    <row r="1" spans="1:7">
      <c r="A1" s="137" t="s">
        <v>422</v>
      </c>
      <c r="B1" s="137" t="s">
        <v>423</v>
      </c>
      <c r="C1" s="137" t="s">
        <v>424</v>
      </c>
      <c r="D1" s="137" t="s">
        <v>586</v>
      </c>
      <c r="G1" s="120"/>
    </row>
    <row r="2" spans="1:7">
      <c r="A2" s="198" t="s">
        <v>703</v>
      </c>
      <c r="B2" s="199" t="s">
        <v>543</v>
      </c>
      <c r="C2" s="120" t="s">
        <v>556</v>
      </c>
      <c r="D2" s="199" t="s">
        <v>579</v>
      </c>
    </row>
    <row r="3" spans="1:7">
      <c r="A3" s="120" t="s">
        <v>489</v>
      </c>
      <c r="B3" s="199" t="s">
        <v>535</v>
      </c>
      <c r="C3" s="199" t="s">
        <v>565</v>
      </c>
      <c r="D3" s="199" t="s">
        <v>539</v>
      </c>
    </row>
    <row r="4" spans="1:7">
      <c r="A4" s="120" t="s">
        <v>627</v>
      </c>
      <c r="B4" s="120" t="s">
        <v>491</v>
      </c>
      <c r="C4" s="120" t="s">
        <v>597</v>
      </c>
      <c r="D4" s="199" t="s">
        <v>545</v>
      </c>
    </row>
    <row r="5" spans="1:7">
      <c r="A5" s="199" t="s">
        <v>525</v>
      </c>
      <c r="B5" s="199" t="s">
        <v>523</v>
      </c>
      <c r="C5" s="199" t="s">
        <v>634</v>
      </c>
      <c r="D5" s="199" t="s">
        <v>1069</v>
      </c>
    </row>
    <row r="6" spans="1:7">
      <c r="A6" s="199" t="s">
        <v>606</v>
      </c>
      <c r="B6" s="199" t="s">
        <v>552</v>
      </c>
      <c r="C6" s="199" t="s">
        <v>673</v>
      </c>
      <c r="D6" s="199" t="s">
        <v>529</v>
      </c>
    </row>
    <row r="7" spans="1:7">
      <c r="A7" s="199" t="s">
        <v>664</v>
      </c>
      <c r="B7" s="199" t="s">
        <v>477</v>
      </c>
      <c r="C7" s="120" t="s">
        <v>538</v>
      </c>
      <c r="D7" s="120" t="s">
        <v>783</v>
      </c>
    </row>
    <row r="8" spans="1:7">
      <c r="A8" s="120" t="s">
        <v>569</v>
      </c>
      <c r="B8" s="199" t="s">
        <v>832</v>
      </c>
      <c r="C8" s="199" t="s">
        <v>492</v>
      </c>
      <c r="D8" s="199" t="s">
        <v>526</v>
      </c>
    </row>
    <row r="9" spans="1:7">
      <c r="A9" s="199" t="s">
        <v>591</v>
      </c>
      <c r="B9" s="199" t="s">
        <v>479</v>
      </c>
      <c r="C9" s="199" t="s">
        <v>558</v>
      </c>
      <c r="D9" s="199" t="s">
        <v>524</v>
      </c>
    </row>
    <row r="10" spans="1:7">
      <c r="A10" s="199" t="s">
        <v>490</v>
      </c>
      <c r="B10" s="199" t="s">
        <v>550</v>
      </c>
      <c r="C10" s="199" t="s">
        <v>548</v>
      </c>
      <c r="D10" s="120" t="s">
        <v>789</v>
      </c>
    </row>
    <row r="11" spans="1:7">
      <c r="A11" s="198" t="s">
        <v>790</v>
      </c>
      <c r="B11" s="200" t="s">
        <v>782</v>
      </c>
      <c r="C11" s="199" t="s">
        <v>486</v>
      </c>
      <c r="D11" s="199" t="s">
        <v>813</v>
      </c>
    </row>
    <row r="12" spans="1:7">
      <c r="A12" s="199" t="s">
        <v>549</v>
      </c>
      <c r="B12" s="199" t="s">
        <v>802</v>
      </c>
      <c r="C12" s="199" t="s">
        <v>493</v>
      </c>
      <c r="D12" s="120" t="s">
        <v>555</v>
      </c>
    </row>
    <row r="13" spans="1:7">
      <c r="A13" s="199" t="s">
        <v>557</v>
      </c>
      <c r="B13" s="199" t="s">
        <v>856</v>
      </c>
      <c r="C13" s="199" t="s">
        <v>570</v>
      </c>
      <c r="D13" s="120" t="s">
        <v>912</v>
      </c>
    </row>
    <row r="14" spans="1:7">
      <c r="A14" s="120" t="s">
        <v>495</v>
      </c>
      <c r="B14" s="199" t="s">
        <v>892</v>
      </c>
      <c r="C14" s="199" t="s">
        <v>583</v>
      </c>
      <c r="D14" s="199" t="s">
        <v>1056</v>
      </c>
    </row>
    <row r="15" spans="1:7">
      <c r="A15" s="199" t="s">
        <v>546</v>
      </c>
      <c r="B15" s="120"/>
      <c r="C15" s="120" t="s">
        <v>478</v>
      </c>
      <c r="D15" s="199" t="s">
        <v>1057</v>
      </c>
    </row>
    <row r="16" spans="1:7">
      <c r="A16" s="120" t="s">
        <v>605</v>
      </c>
      <c r="B16" s="120"/>
      <c r="C16" s="199" t="s">
        <v>474</v>
      </c>
      <c r="D16" s="199" t="s">
        <v>1058</v>
      </c>
    </row>
    <row r="17" spans="1:4">
      <c r="A17" s="120" t="s">
        <v>536</v>
      </c>
      <c r="B17" s="120"/>
      <c r="C17" s="199" t="s">
        <v>561</v>
      </c>
      <c r="D17" s="3"/>
    </row>
    <row r="18" spans="1:4">
      <c r="A18" s="120" t="s">
        <v>542</v>
      </c>
      <c r="B18" s="3"/>
      <c r="C18" s="199" t="s">
        <v>563</v>
      </c>
      <c r="D18" s="3"/>
    </row>
    <row r="19" spans="1:4">
      <c r="A19" s="198" t="s">
        <v>791</v>
      </c>
      <c r="B19" s="120"/>
      <c r="C19" s="199" t="s">
        <v>792</v>
      </c>
      <c r="D19" s="3"/>
    </row>
    <row r="20" spans="1:4">
      <c r="A20" s="120" t="s">
        <v>522</v>
      </c>
      <c r="B20" s="120"/>
      <c r="C20" s="199" t="s">
        <v>476</v>
      </c>
      <c r="D20" s="3"/>
    </row>
    <row r="21" spans="1:4">
      <c r="A21" s="198" t="s">
        <v>798</v>
      </c>
      <c r="B21" s="3"/>
      <c r="C21" s="199" t="s">
        <v>793</v>
      </c>
      <c r="D21" s="3"/>
    </row>
    <row r="22" spans="1:4">
      <c r="A22" s="120" t="s">
        <v>688</v>
      </c>
      <c r="B22" s="120"/>
      <c r="C22" s="120" t="s">
        <v>814</v>
      </c>
      <c r="D22" s="3"/>
    </row>
    <row r="23" spans="1:4">
      <c r="A23" s="120" t="s">
        <v>607</v>
      </c>
      <c r="B23" s="3"/>
      <c r="C23" s="226" t="s">
        <v>855</v>
      </c>
      <c r="D23" s="3"/>
    </row>
    <row r="24" spans="1:4">
      <c r="A24" s="199" t="s">
        <v>590</v>
      </c>
      <c r="B24" s="120"/>
      <c r="C24" s="120" t="s">
        <v>854</v>
      </c>
      <c r="D24" s="3"/>
    </row>
    <row r="25" spans="1:4">
      <c r="A25" s="120" t="s">
        <v>483</v>
      </c>
      <c r="B25" s="120"/>
      <c r="C25" s="199" t="s">
        <v>875</v>
      </c>
      <c r="D25" s="3"/>
    </row>
    <row r="26" spans="1:4">
      <c r="A26" s="199" t="s">
        <v>481</v>
      </c>
      <c r="B26" s="3"/>
      <c r="C26" s="199" t="s">
        <v>893</v>
      </c>
      <c r="D26" s="3"/>
    </row>
    <row r="27" spans="1:4">
      <c r="A27" s="199" t="s">
        <v>577</v>
      </c>
      <c r="B27" s="120"/>
      <c r="C27" s="226" t="s">
        <v>969</v>
      </c>
      <c r="D27" s="3"/>
    </row>
    <row r="28" spans="1:4">
      <c r="A28" s="120" t="s">
        <v>608</v>
      </c>
      <c r="B28" s="120"/>
      <c r="D28" s="3"/>
    </row>
    <row r="29" spans="1:4">
      <c r="A29" s="199" t="s">
        <v>497</v>
      </c>
      <c r="B29" s="120"/>
      <c r="D29" s="3"/>
    </row>
    <row r="30" spans="1:4">
      <c r="A30" s="199" t="s">
        <v>666</v>
      </c>
      <c r="B30" s="120"/>
      <c r="C30" s="120"/>
      <c r="D30" s="3"/>
    </row>
    <row r="31" spans="1:4">
      <c r="A31" s="199" t="s">
        <v>488</v>
      </c>
      <c r="B31" s="120"/>
      <c r="C31" s="120"/>
      <c r="D31" s="3"/>
    </row>
    <row r="32" spans="1:4">
      <c r="A32" s="199" t="s">
        <v>496</v>
      </c>
      <c r="B32" s="120"/>
      <c r="C32" s="120"/>
      <c r="D32" s="3"/>
    </row>
    <row r="33" spans="1:4">
      <c r="A33" s="120" t="s">
        <v>499</v>
      </c>
      <c r="B33" s="120"/>
      <c r="C33" s="120"/>
      <c r="D33" s="3"/>
    </row>
    <row r="34" spans="1:4">
      <c r="A34" s="199" t="s">
        <v>801</v>
      </c>
      <c r="B34" s="120"/>
      <c r="C34" s="120"/>
      <c r="D34" s="3"/>
    </row>
    <row r="35" spans="1:4">
      <c r="A35" s="199" t="s">
        <v>857</v>
      </c>
      <c r="B35" s="120"/>
      <c r="C35" s="120"/>
      <c r="D35" s="3"/>
    </row>
    <row r="36" spans="1:4">
      <c r="A36" s="199" t="s">
        <v>858</v>
      </c>
      <c r="B36" s="120"/>
      <c r="C36" s="120"/>
      <c r="D36" s="3"/>
    </row>
    <row r="37" spans="1:4">
      <c r="A37" s="120" t="s">
        <v>891</v>
      </c>
      <c r="B37" s="120"/>
      <c r="C37" s="120"/>
      <c r="D37" s="3"/>
    </row>
    <row r="38" spans="1:4">
      <c r="A38" s="199" t="s">
        <v>894</v>
      </c>
      <c r="B38" s="120"/>
      <c r="C38" s="120"/>
      <c r="D38" s="3"/>
    </row>
    <row r="39" spans="1:4">
      <c r="A39" s="199" t="s">
        <v>907</v>
      </c>
      <c r="B39" s="120"/>
      <c r="C39" s="120"/>
      <c r="D39" s="3"/>
    </row>
    <row r="40" spans="1:4">
      <c r="A40" s="199" t="s">
        <v>942</v>
      </c>
      <c r="B40" s="120"/>
      <c r="C40" s="120"/>
      <c r="D40" s="3"/>
    </row>
    <row r="41" spans="1:4">
      <c r="A41" s="120" t="s">
        <v>909</v>
      </c>
      <c r="B41" s="3"/>
      <c r="C41" s="3"/>
      <c r="D41" s="3"/>
    </row>
    <row r="42" spans="1:4">
      <c r="A42" s="120" t="s">
        <v>913</v>
      </c>
      <c r="B42" s="120"/>
      <c r="C42" s="120"/>
      <c r="D42" s="3"/>
    </row>
    <row r="43" spans="1:4">
      <c r="A43" s="199" t="s">
        <v>921</v>
      </c>
      <c r="B43" s="120"/>
      <c r="C43" s="3"/>
      <c r="D43" s="3"/>
    </row>
    <row r="44" spans="1:4">
      <c r="A44" s="199" t="s">
        <v>941</v>
      </c>
      <c r="B44" s="3"/>
      <c r="C44" s="3"/>
      <c r="D44" s="3"/>
    </row>
    <row r="45" spans="1:4">
      <c r="A45" s="199" t="s">
        <v>944</v>
      </c>
      <c r="B45" s="3"/>
      <c r="C45" s="3"/>
      <c r="D45" s="3"/>
    </row>
    <row r="46" spans="1:4">
      <c r="A46" s="199" t="s">
        <v>945</v>
      </c>
      <c r="B46" s="3"/>
      <c r="C46" s="3"/>
      <c r="D46" s="3"/>
    </row>
    <row r="47" spans="1:4">
      <c r="A47" s="199" t="s">
        <v>950</v>
      </c>
      <c r="B47" s="3"/>
      <c r="C47" s="3"/>
      <c r="D47" s="3"/>
    </row>
    <row r="48" spans="1:4">
      <c r="A48" s="199" t="s">
        <v>982</v>
      </c>
      <c r="B48" s="3"/>
      <c r="C48" s="3"/>
      <c r="D48" s="3"/>
    </row>
    <row r="49" spans="1:1">
      <c r="A49" s="199" t="s">
        <v>995</v>
      </c>
    </row>
    <row r="50" spans="1:1">
      <c r="A50" s="199" t="s">
        <v>996</v>
      </c>
    </row>
    <row r="51" spans="1:1">
      <c r="A51" s="199" t="s">
        <v>1068</v>
      </c>
    </row>
    <row r="52" spans="1:1">
      <c r="A52" s="120" t="s">
        <v>1035</v>
      </c>
    </row>
    <row r="53" spans="1:1">
      <c r="A53" s="199" t="s">
        <v>1059</v>
      </c>
    </row>
    <row r="54" spans="1:1">
      <c r="A54" s="199" t="s">
        <v>1060</v>
      </c>
    </row>
    <row r="55" spans="1:1">
      <c r="A55" s="199" t="s">
        <v>1061</v>
      </c>
    </row>
    <row r="56" spans="1:1">
      <c r="A56" s="226" t="s">
        <v>1081</v>
      </c>
    </row>
    <row r="57" spans="1:1">
      <c r="A57" s="298" t="s">
        <v>1083</v>
      </c>
    </row>
    <row r="61" spans="1:1">
      <c r="A61" s="261"/>
    </row>
    <row r="62" spans="1:1">
      <c r="A62" t="s">
        <v>781</v>
      </c>
    </row>
    <row r="63" spans="1:1">
      <c r="A63" s="201" t="s">
        <v>794</v>
      </c>
    </row>
  </sheetData>
  <autoFilter ref="A1:D45" xr:uid="{00000000-0009-0000-0000-000006000000}">
    <sortState xmlns:xlrd2="http://schemas.microsoft.com/office/spreadsheetml/2017/richdata2" ref="A2:D45">
      <sortCondition ref="D1:D45"/>
    </sortState>
  </autoFilter>
  <sortState xmlns:xlrd2="http://schemas.microsoft.com/office/spreadsheetml/2017/richdata2" ref="A2:A48">
    <sortCondition ref="A2:A48"/>
  </sortState>
  <pageMargins left="0.7" right="0.7" top="0.75" bottom="0.75" header="0.3" footer="0.3"/>
  <pageSetup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EADAB-E1F4-46FE-A059-84C6F12CB3E3}">
  <dimension ref="A1:A4"/>
  <sheetViews>
    <sheetView topLeftCell="A7" workbookViewId="0">
      <selection activeCell="A4" sqref="A4"/>
    </sheetView>
  </sheetViews>
  <sheetFormatPr defaultRowHeight="14.5"/>
  <sheetData>
    <row r="1" spans="1:1">
      <c r="A1" t="s">
        <v>799</v>
      </c>
    </row>
    <row r="4" spans="1:1">
      <c r="A4" s="9">
        <v>37384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4:D38"/>
  <sheetViews>
    <sheetView workbookViewId="0">
      <selection activeCell="A31" sqref="A31"/>
    </sheetView>
  </sheetViews>
  <sheetFormatPr defaultRowHeight="14.5"/>
  <cols>
    <col min="1" max="1" width="23" customWidth="1"/>
    <col min="2" max="3" width="21" customWidth="1"/>
    <col min="4" max="4" width="23.90625" customWidth="1"/>
    <col min="6" max="6" width="34.90625" customWidth="1"/>
  </cols>
  <sheetData>
    <row r="4" spans="1:4" s="1" customFormat="1">
      <c r="A4" s="2" t="s">
        <v>422</v>
      </c>
      <c r="B4" s="2" t="s">
        <v>423</v>
      </c>
      <c r="C4" s="2" t="s">
        <v>424</v>
      </c>
      <c r="D4" s="2" t="s">
        <v>425</v>
      </c>
    </row>
    <row r="5" spans="1:4">
      <c r="A5" s="95" t="s">
        <v>22</v>
      </c>
      <c r="B5" s="91" t="s">
        <v>426</v>
      </c>
      <c r="C5" s="87" t="s">
        <v>427</v>
      </c>
      <c r="D5" s="69" t="s">
        <v>428</v>
      </c>
    </row>
    <row r="6" spans="1:4">
      <c r="A6" s="77" t="s">
        <v>429</v>
      </c>
      <c r="B6" s="69" t="s">
        <v>139</v>
      </c>
      <c r="C6" s="95" t="s">
        <v>198</v>
      </c>
      <c r="D6" s="95" t="s">
        <v>130</v>
      </c>
    </row>
    <row r="7" spans="1:4">
      <c r="A7" s="95" t="s">
        <v>42</v>
      </c>
      <c r="B7" s="69" t="s">
        <v>155</v>
      </c>
      <c r="C7" s="90" t="s">
        <v>430</v>
      </c>
      <c r="D7" s="88" t="s">
        <v>431</v>
      </c>
    </row>
    <row r="8" spans="1:4">
      <c r="A8" s="95" t="s">
        <v>432</v>
      </c>
      <c r="B8" s="69" t="s">
        <v>433</v>
      </c>
      <c r="C8" s="95" t="s">
        <v>165</v>
      </c>
      <c r="D8" s="95" t="s">
        <v>173</v>
      </c>
    </row>
    <row r="9" spans="1:4">
      <c r="A9" s="91" t="s">
        <v>434</v>
      </c>
      <c r="B9" s="91" t="s">
        <v>435</v>
      </c>
      <c r="C9" s="95" t="s">
        <v>202</v>
      </c>
      <c r="D9" s="69" t="s">
        <v>128</v>
      </c>
    </row>
    <row r="10" spans="1:4">
      <c r="A10" s="95" t="s">
        <v>36</v>
      </c>
      <c r="B10" s="88" t="s">
        <v>436</v>
      </c>
      <c r="C10" s="95" t="s">
        <v>133</v>
      </c>
      <c r="D10" s="3" t="s">
        <v>437</v>
      </c>
    </row>
    <row r="11" spans="1:4">
      <c r="A11" s="88" t="s">
        <v>438</v>
      </c>
      <c r="B11" s="69" t="s">
        <v>171</v>
      </c>
      <c r="C11" s="95" t="s">
        <v>123</v>
      </c>
      <c r="D11" s="95" t="s">
        <v>131</v>
      </c>
    </row>
    <row r="12" spans="1:4">
      <c r="A12" s="95" t="s">
        <v>439</v>
      </c>
      <c r="B12" s="69" t="s">
        <v>126</v>
      </c>
      <c r="C12" s="87" t="s">
        <v>243</v>
      </c>
      <c r="D12" s="95" t="s">
        <v>237</v>
      </c>
    </row>
    <row r="13" spans="1:4">
      <c r="A13" s="95" t="s">
        <v>39</v>
      </c>
      <c r="B13" s="69" t="s">
        <v>171</v>
      </c>
      <c r="C13" s="95" t="s">
        <v>119</v>
      </c>
      <c r="D13" s="93" t="s">
        <v>440</v>
      </c>
    </row>
    <row r="14" spans="1:4">
      <c r="A14" s="95" t="s">
        <v>58</v>
      </c>
      <c r="B14" s="69" t="s">
        <v>177</v>
      </c>
      <c r="C14" s="96" t="s">
        <v>441</v>
      </c>
      <c r="D14" s="93" t="s">
        <v>442</v>
      </c>
    </row>
    <row r="15" spans="1:4">
      <c r="A15" s="77" t="s">
        <v>443</v>
      </c>
      <c r="B15" s="3" t="s">
        <v>444</v>
      </c>
      <c r="C15" s="95" t="s">
        <v>167</v>
      </c>
      <c r="D15" s="3" t="s">
        <v>445</v>
      </c>
    </row>
    <row r="16" spans="1:4">
      <c r="A16" s="77" t="s">
        <v>446</v>
      </c>
      <c r="B16" s="3" t="s">
        <v>447</v>
      </c>
      <c r="C16" s="3" t="s">
        <v>448</v>
      </c>
      <c r="D16" s="3" t="s">
        <v>173</v>
      </c>
    </row>
    <row r="17" spans="1:4">
      <c r="A17" s="77" t="s">
        <v>449</v>
      </c>
      <c r="B17" s="3" t="s">
        <v>189</v>
      </c>
      <c r="C17" s="87" t="s">
        <v>450</v>
      </c>
      <c r="D17" s="3"/>
    </row>
    <row r="18" spans="1:4">
      <c r="A18" s="77" t="s">
        <v>451</v>
      </c>
      <c r="B18" s="95" t="s">
        <v>452</v>
      </c>
      <c r="C18" s="95" t="s">
        <v>141</v>
      </c>
      <c r="D18" s="3"/>
    </row>
    <row r="19" spans="1:4">
      <c r="A19" s="89" t="s">
        <v>453</v>
      </c>
      <c r="B19" s="3" t="s">
        <v>189</v>
      </c>
      <c r="C19" s="95" t="s">
        <v>210</v>
      </c>
      <c r="D19" s="3"/>
    </row>
    <row r="20" spans="1:4">
      <c r="A20" s="77" t="s">
        <v>454</v>
      </c>
      <c r="B20" s="3"/>
      <c r="C20" s="95" t="s">
        <v>192</v>
      </c>
      <c r="D20" s="3"/>
    </row>
    <row r="21" spans="1:4">
      <c r="A21" s="77" t="s">
        <v>455</v>
      </c>
      <c r="B21" s="3"/>
      <c r="C21" s="95" t="s">
        <v>136</v>
      </c>
      <c r="D21" s="3"/>
    </row>
    <row r="22" spans="1:4">
      <c r="A22" s="77" t="s">
        <v>456</v>
      </c>
      <c r="B22" s="3"/>
      <c r="C22" s="95" t="s">
        <v>229</v>
      </c>
      <c r="D22" s="3"/>
    </row>
    <row r="23" spans="1:4">
      <c r="A23" s="77" t="s">
        <v>457</v>
      </c>
      <c r="B23" s="3"/>
      <c r="C23" s="69" t="s">
        <v>145</v>
      </c>
      <c r="D23" s="3"/>
    </row>
    <row r="24" spans="1:4">
      <c r="A24" s="88" t="s">
        <v>458</v>
      </c>
      <c r="B24" s="3"/>
      <c r="C24" s="87" t="s">
        <v>459</v>
      </c>
      <c r="D24" s="3"/>
    </row>
    <row r="25" spans="1:4">
      <c r="A25" s="77" t="s">
        <v>460</v>
      </c>
      <c r="B25" s="3"/>
      <c r="C25" s="97" t="s">
        <v>461</v>
      </c>
      <c r="D25" s="3"/>
    </row>
    <row r="26" spans="1:4">
      <c r="A26" s="98" t="s">
        <v>462</v>
      </c>
      <c r="B26" s="3"/>
      <c r="C26" s="93" t="s">
        <v>143</v>
      </c>
      <c r="D26" s="3"/>
    </row>
    <row r="27" spans="1:4">
      <c r="A27" s="77" t="s">
        <v>463</v>
      </c>
      <c r="B27" s="3"/>
      <c r="C27" s="93" t="s">
        <v>464</v>
      </c>
      <c r="D27" s="3"/>
    </row>
    <row r="28" spans="1:4">
      <c r="A28" s="77" t="s">
        <v>465</v>
      </c>
      <c r="B28" s="3"/>
      <c r="C28" s="93" t="s">
        <v>466</v>
      </c>
      <c r="D28" s="3"/>
    </row>
    <row r="29" spans="1:4">
      <c r="A29" s="77" t="s">
        <v>70</v>
      </c>
      <c r="B29" s="3"/>
      <c r="C29" s="3" t="s">
        <v>515</v>
      </c>
      <c r="D29" s="3"/>
    </row>
    <row r="30" spans="1:4">
      <c r="A30" s="95" t="s">
        <v>51</v>
      </c>
      <c r="B30" s="3"/>
      <c r="C30" s="3" t="s">
        <v>514</v>
      </c>
      <c r="D30" s="3"/>
    </row>
    <row r="31" spans="1:4">
      <c r="A31" s="99" t="s">
        <v>467</v>
      </c>
      <c r="C31" s="13" t="s">
        <v>518</v>
      </c>
    </row>
    <row r="32" spans="1:4">
      <c r="A32" s="100" t="s">
        <v>468</v>
      </c>
      <c r="C32" s="13"/>
    </row>
    <row r="33" spans="1:1">
      <c r="A33" s="100" t="s">
        <v>469</v>
      </c>
    </row>
    <row r="34" spans="1:1">
      <c r="A34" s="100" t="s">
        <v>504</v>
      </c>
    </row>
    <row r="35" spans="1:1">
      <c r="A35" s="100" t="s">
        <v>505</v>
      </c>
    </row>
    <row r="36" spans="1:1">
      <c r="A36" s="100" t="s">
        <v>63</v>
      </c>
    </row>
    <row r="37" spans="1:1">
      <c r="A37" s="100" t="s">
        <v>516</v>
      </c>
    </row>
    <row r="38" spans="1:1">
      <c r="A38" s="100" t="s">
        <v>517</v>
      </c>
    </row>
  </sheetData>
  <pageMargins left="0.7" right="0.7" top="0.75" bottom="0.75" header="0.3" footer="0.3"/>
  <pageSetup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6"/>
  <sheetViews>
    <sheetView workbookViewId="0">
      <selection activeCell="A25" sqref="A25:C25"/>
    </sheetView>
  </sheetViews>
  <sheetFormatPr defaultRowHeight="14.5"/>
  <cols>
    <col min="1" max="1" width="30" customWidth="1"/>
    <col min="2" max="2" width="11" customWidth="1"/>
    <col min="3" max="3" width="24" customWidth="1"/>
  </cols>
  <sheetData>
    <row r="1" spans="1:4" ht="26.5" thickBot="1">
      <c r="A1" s="101" t="s">
        <v>471</v>
      </c>
      <c r="B1" s="102" t="s">
        <v>472</v>
      </c>
      <c r="C1" s="102" t="s">
        <v>473</v>
      </c>
    </row>
    <row r="2" spans="1:4" ht="15" thickBot="1">
      <c r="A2" s="103" t="s">
        <v>474</v>
      </c>
      <c r="B2" s="104" t="s">
        <v>475</v>
      </c>
      <c r="C2" s="105">
        <v>44254</v>
      </c>
    </row>
    <row r="3" spans="1:4" ht="15" thickBot="1">
      <c r="A3" s="103" t="s">
        <v>476</v>
      </c>
      <c r="B3" s="104" t="s">
        <v>475</v>
      </c>
      <c r="C3" s="105">
        <v>44285</v>
      </c>
    </row>
    <row r="4" spans="1:4" ht="15" thickBot="1">
      <c r="A4" s="103" t="s">
        <v>477</v>
      </c>
      <c r="B4" s="104" t="s">
        <v>475</v>
      </c>
      <c r="C4" s="105">
        <v>44442</v>
      </c>
    </row>
    <row r="5" spans="1:4" ht="15" thickBot="1">
      <c r="A5" s="103" t="s">
        <v>478</v>
      </c>
      <c r="B5" s="104" t="s">
        <v>475</v>
      </c>
      <c r="C5" s="105">
        <v>44449</v>
      </c>
    </row>
    <row r="6" spans="1:4" ht="15" thickBot="1">
      <c r="A6" s="103" t="s">
        <v>479</v>
      </c>
      <c r="B6" s="104" t="s">
        <v>475</v>
      </c>
      <c r="C6" s="105">
        <v>44484</v>
      </c>
    </row>
    <row r="7" spans="1:4" ht="15" thickBot="1">
      <c r="A7" s="103" t="s">
        <v>480</v>
      </c>
      <c r="B7" s="104" t="s">
        <v>475</v>
      </c>
      <c r="C7" s="105">
        <v>44485</v>
      </c>
    </row>
    <row r="8" spans="1:4" ht="15" thickBot="1">
      <c r="A8" s="103" t="s">
        <v>481</v>
      </c>
      <c r="B8" s="104" t="s">
        <v>475</v>
      </c>
      <c r="C8" s="105">
        <v>44527</v>
      </c>
    </row>
    <row r="9" spans="1:4" ht="15" thickBot="1">
      <c r="A9" s="103" t="s">
        <v>482</v>
      </c>
      <c r="B9" s="104" t="s">
        <v>475</v>
      </c>
      <c r="C9" s="105">
        <v>44554</v>
      </c>
    </row>
    <row r="10" spans="1:4" ht="15" thickBot="1">
      <c r="A10" s="103" t="s">
        <v>483</v>
      </c>
      <c r="B10" s="104" t="s">
        <v>475</v>
      </c>
      <c r="C10" s="105">
        <v>44562</v>
      </c>
    </row>
    <row r="11" spans="1:4" ht="15" thickBot="1">
      <c r="A11" s="106" t="s">
        <v>484</v>
      </c>
      <c r="B11" s="107" t="s">
        <v>475</v>
      </c>
      <c r="C11" s="108">
        <v>44651</v>
      </c>
      <c r="D11" s="109"/>
    </row>
    <row r="12" spans="1:4" ht="15" thickBot="1">
      <c r="A12" s="106" t="s">
        <v>485</v>
      </c>
      <c r="B12" s="107" t="s">
        <v>475</v>
      </c>
      <c r="C12" s="108">
        <v>44718</v>
      </c>
    </row>
    <row r="13" spans="1:4" ht="15" thickBot="1">
      <c r="A13" s="103" t="s">
        <v>486</v>
      </c>
      <c r="B13" s="104" t="s">
        <v>475</v>
      </c>
      <c r="C13" s="105">
        <v>44841</v>
      </c>
    </row>
    <row r="14" spans="1:4" ht="15" thickBot="1">
      <c r="A14" s="106" t="s">
        <v>487</v>
      </c>
      <c r="B14" s="107" t="s">
        <v>475</v>
      </c>
      <c r="C14" s="108">
        <v>45047</v>
      </c>
    </row>
    <row r="15" spans="1:4" ht="15" thickBot="1">
      <c r="A15" s="103" t="s">
        <v>488</v>
      </c>
      <c r="B15" s="104" t="s">
        <v>475</v>
      </c>
      <c r="C15" s="105">
        <v>45082</v>
      </c>
    </row>
    <row r="16" spans="1:4" ht="15" thickBot="1">
      <c r="A16" s="103" t="s">
        <v>489</v>
      </c>
      <c r="B16" s="104" t="s">
        <v>475</v>
      </c>
      <c r="C16" s="105">
        <v>45082</v>
      </c>
    </row>
    <row r="17" spans="1:3" ht="15" thickBot="1">
      <c r="A17" s="103" t="s">
        <v>490</v>
      </c>
      <c r="B17" s="104" t="s">
        <v>475</v>
      </c>
      <c r="C17" s="105">
        <v>45082</v>
      </c>
    </row>
    <row r="18" spans="1:3" ht="15" thickBot="1">
      <c r="A18" s="103" t="s">
        <v>491</v>
      </c>
      <c r="B18" s="104" t="s">
        <v>475</v>
      </c>
      <c r="C18" s="105">
        <v>45152</v>
      </c>
    </row>
    <row r="19" spans="1:3" ht="15" thickBot="1">
      <c r="A19" s="103" t="s">
        <v>492</v>
      </c>
      <c r="B19" s="104" t="s">
        <v>475</v>
      </c>
      <c r="C19" s="105">
        <v>45152</v>
      </c>
    </row>
    <row r="20" spans="1:3" ht="15" thickBot="1">
      <c r="A20" s="103" t="s">
        <v>493</v>
      </c>
      <c r="B20" s="104" t="s">
        <v>475</v>
      </c>
      <c r="C20" s="105">
        <v>45152</v>
      </c>
    </row>
    <row r="21" spans="1:3" ht="15" thickBot="1">
      <c r="A21" s="103" t="s">
        <v>494</v>
      </c>
      <c r="B21" s="104" t="s">
        <v>475</v>
      </c>
      <c r="C21" s="105">
        <v>45166</v>
      </c>
    </row>
    <row r="22" spans="1:3" ht="15" thickBot="1">
      <c r="A22" s="103" t="s">
        <v>495</v>
      </c>
      <c r="B22" s="104" t="s">
        <v>475</v>
      </c>
      <c r="C22" s="105">
        <v>45201</v>
      </c>
    </row>
    <row r="23" spans="1:3" ht="15" thickBot="1">
      <c r="A23" s="103" t="s">
        <v>496</v>
      </c>
      <c r="B23" s="104" t="s">
        <v>475</v>
      </c>
      <c r="C23" s="105">
        <v>45201</v>
      </c>
    </row>
    <row r="24" spans="1:3" ht="15" thickBot="1">
      <c r="A24" s="103" t="s">
        <v>497</v>
      </c>
      <c r="B24" s="104" t="s">
        <v>475</v>
      </c>
      <c r="C24" s="105">
        <v>45208</v>
      </c>
    </row>
    <row r="25" spans="1:3" ht="15" thickBot="1">
      <c r="A25" s="106" t="s">
        <v>498</v>
      </c>
      <c r="B25" s="107" t="s">
        <v>475</v>
      </c>
      <c r="C25" s="108">
        <v>45208</v>
      </c>
    </row>
    <row r="26" spans="1:3" ht="15" thickBot="1">
      <c r="A26" s="103" t="s">
        <v>499</v>
      </c>
      <c r="B26" s="104" t="s">
        <v>475</v>
      </c>
      <c r="C26" s="105">
        <v>45208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5"/>
  <sheetViews>
    <sheetView workbookViewId="0">
      <selection activeCell="D23" sqref="D23"/>
    </sheetView>
  </sheetViews>
  <sheetFormatPr defaultRowHeight="14.5"/>
  <cols>
    <col min="1" max="1" width="36.453125" customWidth="1"/>
    <col min="2" max="2" width="34.54296875" customWidth="1"/>
    <col min="3" max="3" width="37.36328125" customWidth="1"/>
    <col min="4" max="4" width="54.54296875" customWidth="1"/>
  </cols>
  <sheetData>
    <row r="1" spans="1:4">
      <c r="A1" s="119" t="s">
        <v>422</v>
      </c>
      <c r="B1" s="119" t="s">
        <v>423</v>
      </c>
      <c r="C1" s="119" t="s">
        <v>424</v>
      </c>
      <c r="D1" s="119" t="s">
        <v>586</v>
      </c>
    </row>
    <row r="2" spans="1:4">
      <c r="A2" s="124" t="s">
        <v>593</v>
      </c>
      <c r="B2" s="124" t="s">
        <v>543</v>
      </c>
      <c r="C2" s="124" t="s">
        <v>556</v>
      </c>
      <c r="D2" s="124" t="s">
        <v>579</v>
      </c>
    </row>
    <row r="3" spans="1:4">
      <c r="A3" s="120" t="s">
        <v>575</v>
      </c>
      <c r="B3" s="124" t="s">
        <v>535</v>
      </c>
      <c r="C3" s="124" t="s">
        <v>565</v>
      </c>
      <c r="D3" s="120" t="s">
        <v>572</v>
      </c>
    </row>
    <row r="4" spans="1:4">
      <c r="A4" s="124" t="s">
        <v>489</v>
      </c>
      <c r="B4" s="124" t="s">
        <v>491</v>
      </c>
      <c r="C4" s="124" t="s">
        <v>597</v>
      </c>
      <c r="D4" s="124" t="s">
        <v>539</v>
      </c>
    </row>
    <row r="5" spans="1:4">
      <c r="A5" s="124" t="s">
        <v>627</v>
      </c>
      <c r="B5" s="124" t="s">
        <v>523</v>
      </c>
      <c r="C5" s="124" t="s">
        <v>527</v>
      </c>
      <c r="D5" s="124" t="s">
        <v>541</v>
      </c>
    </row>
    <row r="6" spans="1:4">
      <c r="A6" s="124" t="s">
        <v>606</v>
      </c>
      <c r="B6" s="124" t="s">
        <v>552</v>
      </c>
      <c r="C6" s="124" t="s">
        <v>634</v>
      </c>
      <c r="D6" s="120" t="s">
        <v>531</v>
      </c>
    </row>
    <row r="7" spans="1:4">
      <c r="A7" s="124" t="s">
        <v>569</v>
      </c>
      <c r="B7" s="124" t="s">
        <v>477</v>
      </c>
      <c r="C7" s="124" t="s">
        <v>539</v>
      </c>
      <c r="D7" s="124" t="s">
        <v>545</v>
      </c>
    </row>
    <row r="8" spans="1:4">
      <c r="A8" s="124" t="s">
        <v>591</v>
      </c>
      <c r="B8" s="124" t="s">
        <v>641</v>
      </c>
      <c r="C8" s="124" t="s">
        <v>541</v>
      </c>
      <c r="D8" s="124" t="s">
        <v>533</v>
      </c>
    </row>
    <row r="9" spans="1:4">
      <c r="A9" s="124" t="s">
        <v>490</v>
      </c>
      <c r="B9" s="124" t="s">
        <v>532</v>
      </c>
      <c r="C9" s="124" t="s">
        <v>545</v>
      </c>
      <c r="D9" s="124" t="s">
        <v>529</v>
      </c>
    </row>
    <row r="10" spans="1:4">
      <c r="A10" s="124" t="s">
        <v>549</v>
      </c>
      <c r="B10" s="124" t="s">
        <v>479</v>
      </c>
      <c r="C10" s="120" t="s">
        <v>538</v>
      </c>
      <c r="D10" s="120" t="s">
        <v>521</v>
      </c>
    </row>
    <row r="11" spans="1:4">
      <c r="A11" s="124" t="s">
        <v>557</v>
      </c>
      <c r="B11" s="124" t="s">
        <v>550</v>
      </c>
      <c r="C11" s="124" t="s">
        <v>640</v>
      </c>
      <c r="D11" s="124" t="s">
        <v>526</v>
      </c>
    </row>
    <row r="12" spans="1:4">
      <c r="A12" s="124" t="s">
        <v>495</v>
      </c>
      <c r="B12" s="120" t="s">
        <v>528</v>
      </c>
      <c r="C12" s="124" t="s">
        <v>492</v>
      </c>
      <c r="D12" s="124" t="s">
        <v>524</v>
      </c>
    </row>
    <row r="13" spans="1:4">
      <c r="A13" s="124" t="s">
        <v>546</v>
      </c>
      <c r="B13" s="120"/>
      <c r="C13" s="124" t="s">
        <v>558</v>
      </c>
      <c r="D13" s="3"/>
    </row>
    <row r="14" spans="1:4">
      <c r="A14" s="124" t="s">
        <v>571</v>
      </c>
      <c r="B14" s="120"/>
      <c r="C14" s="124" t="s">
        <v>529</v>
      </c>
      <c r="D14" s="3"/>
    </row>
    <row r="15" spans="1:4">
      <c r="A15" s="124" t="s">
        <v>560</v>
      </c>
      <c r="B15" s="120"/>
      <c r="C15" s="124" t="s">
        <v>548</v>
      </c>
      <c r="D15" s="3"/>
    </row>
    <row r="16" spans="1:4">
      <c r="A16" s="124" t="s">
        <v>605</v>
      </c>
      <c r="B16" s="120"/>
      <c r="C16" s="124" t="s">
        <v>553</v>
      </c>
      <c r="D16" s="3"/>
    </row>
    <row r="17" spans="1:4">
      <c r="A17" s="124" t="s">
        <v>562</v>
      </c>
      <c r="B17" s="120"/>
      <c r="C17" s="124" t="s">
        <v>486</v>
      </c>
      <c r="D17" s="3"/>
    </row>
    <row r="18" spans="1:4">
      <c r="A18" s="124" t="s">
        <v>566</v>
      </c>
      <c r="B18" s="120"/>
      <c r="C18" s="124" t="s">
        <v>576</v>
      </c>
      <c r="D18" s="3"/>
    </row>
    <row r="19" spans="1:4">
      <c r="A19" s="124" t="s">
        <v>536</v>
      </c>
      <c r="B19" s="120"/>
      <c r="C19" s="124" t="s">
        <v>493</v>
      </c>
      <c r="D19" s="3"/>
    </row>
    <row r="20" spans="1:4">
      <c r="A20" s="124" t="s">
        <v>542</v>
      </c>
      <c r="B20" s="120"/>
      <c r="C20" s="124" t="s">
        <v>570</v>
      </c>
      <c r="D20" s="3"/>
    </row>
    <row r="21" spans="1:4">
      <c r="A21" s="124" t="s">
        <v>522</v>
      </c>
      <c r="B21" s="120"/>
      <c r="C21" s="124" t="s">
        <v>583</v>
      </c>
      <c r="D21" s="3"/>
    </row>
    <row r="22" spans="1:4">
      <c r="A22" s="124" t="s">
        <v>525</v>
      </c>
      <c r="B22" s="120"/>
      <c r="C22" s="124" t="s">
        <v>478</v>
      </c>
      <c r="D22" s="3"/>
    </row>
    <row r="23" spans="1:4">
      <c r="A23" s="3" t="s">
        <v>540</v>
      </c>
      <c r="B23" s="120"/>
      <c r="C23" s="124" t="s">
        <v>474</v>
      </c>
      <c r="D23" s="3"/>
    </row>
    <row r="24" spans="1:4">
      <c r="A24" s="3" t="s">
        <v>633</v>
      </c>
      <c r="B24" s="120"/>
      <c r="C24" s="124" t="s">
        <v>561</v>
      </c>
      <c r="D24" s="3"/>
    </row>
    <row r="25" spans="1:4">
      <c r="A25" s="124" t="s">
        <v>626</v>
      </c>
      <c r="B25" s="120"/>
      <c r="C25" s="124" t="s">
        <v>563</v>
      </c>
      <c r="D25" s="3"/>
    </row>
    <row r="26" spans="1:4">
      <c r="A26" s="120" t="s">
        <v>573</v>
      </c>
      <c r="B26" s="120"/>
      <c r="C26" s="124" t="s">
        <v>476</v>
      </c>
      <c r="D26" s="3"/>
    </row>
    <row r="27" spans="1:4">
      <c r="A27" s="124" t="s">
        <v>554</v>
      </c>
      <c r="B27" s="120"/>
      <c r="C27" s="124"/>
      <c r="D27" s="3"/>
    </row>
    <row r="28" spans="1:4">
      <c r="A28" s="124" t="s">
        <v>607</v>
      </c>
      <c r="B28" s="120"/>
      <c r="C28" s="120"/>
      <c r="D28" s="3"/>
    </row>
    <row r="29" spans="1:4">
      <c r="A29" s="124" t="s">
        <v>590</v>
      </c>
      <c r="B29" s="120"/>
      <c r="C29" s="120"/>
      <c r="D29" s="3"/>
    </row>
    <row r="30" spans="1:4">
      <c r="A30" s="124" t="s">
        <v>580</v>
      </c>
      <c r="B30" s="120"/>
      <c r="C30" s="120"/>
      <c r="D30" s="3"/>
    </row>
    <row r="31" spans="1:4">
      <c r="A31" s="124" t="s">
        <v>483</v>
      </c>
      <c r="B31" s="120"/>
      <c r="C31" s="120"/>
      <c r="D31" s="3"/>
    </row>
    <row r="32" spans="1:4">
      <c r="A32" s="124" t="s">
        <v>482</v>
      </c>
      <c r="B32" s="120"/>
      <c r="C32" s="120"/>
      <c r="D32" s="3"/>
    </row>
    <row r="33" spans="1:4">
      <c r="A33" s="124" t="s">
        <v>481</v>
      </c>
      <c r="B33" s="120"/>
      <c r="C33" s="120"/>
      <c r="D33" s="3"/>
    </row>
    <row r="34" spans="1:4">
      <c r="A34" s="124" t="s">
        <v>577</v>
      </c>
      <c r="B34" s="120"/>
      <c r="C34" s="120"/>
      <c r="D34" s="3"/>
    </row>
    <row r="35" spans="1:4">
      <c r="A35" s="124" t="s">
        <v>608</v>
      </c>
      <c r="B35" s="120"/>
      <c r="C35" s="120"/>
      <c r="D35" s="3"/>
    </row>
    <row r="36" spans="1:4">
      <c r="A36" s="124" t="s">
        <v>497</v>
      </c>
      <c r="B36" s="120"/>
      <c r="C36" s="120"/>
      <c r="D36" s="3"/>
    </row>
    <row r="37" spans="1:4">
      <c r="A37" s="124" t="s">
        <v>568</v>
      </c>
      <c r="B37" s="120"/>
      <c r="C37" s="120"/>
      <c r="D37" s="3"/>
    </row>
    <row r="38" spans="1:4">
      <c r="A38" s="124" t="s">
        <v>488</v>
      </c>
      <c r="B38" s="3"/>
      <c r="C38" s="120"/>
      <c r="D38" s="3"/>
    </row>
    <row r="39" spans="1:4">
      <c r="A39" s="124" t="s">
        <v>496</v>
      </c>
      <c r="B39" s="3"/>
      <c r="C39" s="120"/>
      <c r="D39" s="3"/>
    </row>
    <row r="40" spans="1:4">
      <c r="A40" s="124" t="s">
        <v>499</v>
      </c>
      <c r="B40" s="3"/>
      <c r="C40" s="3"/>
      <c r="D40" s="3"/>
    </row>
    <row r="41" spans="1:4">
      <c r="A41" s="124"/>
      <c r="B41" s="120"/>
      <c r="C41" s="120"/>
      <c r="D41" s="3"/>
    </row>
    <row r="44" spans="1:4">
      <c r="A44" s="125" t="s">
        <v>642</v>
      </c>
      <c r="B44" s="125"/>
    </row>
    <row r="45" spans="1:4">
      <c r="A45" t="s">
        <v>534</v>
      </c>
    </row>
    <row r="46" spans="1:4">
      <c r="A46" t="s">
        <v>592</v>
      </c>
    </row>
    <row r="47" spans="1:4">
      <c r="A47" t="s">
        <v>551</v>
      </c>
    </row>
    <row r="48" spans="1:4">
      <c r="A48" t="s">
        <v>559</v>
      </c>
    </row>
    <row r="49" spans="1:2">
      <c r="A49" s="120" t="s">
        <v>564</v>
      </c>
      <c r="B49" s="120"/>
    </row>
    <row r="52" spans="1:2">
      <c r="A52" t="s">
        <v>423</v>
      </c>
    </row>
    <row r="53" spans="1:2">
      <c r="A53" s="120" t="s">
        <v>530</v>
      </c>
      <c r="B53" s="120"/>
    </row>
    <row r="54" spans="1:2">
      <c r="A54" s="120" t="s">
        <v>547</v>
      </c>
      <c r="B54" s="120"/>
    </row>
    <row r="55" spans="1:2">
      <c r="A55" s="120" t="s">
        <v>537</v>
      </c>
      <c r="B55" s="120"/>
    </row>
    <row r="58" spans="1:2">
      <c r="A58" t="s">
        <v>424</v>
      </c>
    </row>
    <row r="59" spans="1:2">
      <c r="A59" t="s">
        <v>582</v>
      </c>
    </row>
    <row r="60" spans="1:2">
      <c r="A60" t="s">
        <v>578</v>
      </c>
    </row>
    <row r="61" spans="1:2">
      <c r="A61" t="s">
        <v>574</v>
      </c>
    </row>
    <row r="62" spans="1:2">
      <c r="A62" s="120" t="s">
        <v>544</v>
      </c>
      <c r="B62" s="120"/>
    </row>
    <row r="63" spans="1:2">
      <c r="A63" t="s">
        <v>581</v>
      </c>
    </row>
    <row r="64" spans="1:2">
      <c r="A64" t="s">
        <v>567</v>
      </c>
    </row>
    <row r="65" spans="1:1">
      <c r="A65" t="s">
        <v>555</v>
      </c>
    </row>
  </sheetData>
  <sortState xmlns:xlrd2="http://schemas.microsoft.com/office/spreadsheetml/2017/richdata2" ref="A2:A65">
    <sortCondition ref="A1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92"/>
  <sheetViews>
    <sheetView topLeftCell="A46" workbookViewId="0">
      <selection activeCell="E74" sqref="E74"/>
    </sheetView>
  </sheetViews>
  <sheetFormatPr defaultRowHeight="14.5"/>
  <cols>
    <col min="1" max="1" width="26.453125" customWidth="1"/>
    <col min="2" max="2" width="24" customWidth="1"/>
  </cols>
  <sheetData>
    <row r="1" spans="1:2" ht="51">
      <c r="A1" s="20" t="s">
        <v>113</v>
      </c>
      <c r="B1" s="24" t="s">
        <v>117</v>
      </c>
    </row>
    <row r="2" spans="1:2">
      <c r="A2" s="51" t="s">
        <v>118</v>
      </c>
      <c r="B2" s="2" t="s">
        <v>25</v>
      </c>
    </row>
    <row r="3" spans="1:2">
      <c r="A3" s="51" t="s">
        <v>122</v>
      </c>
      <c r="B3" s="2" t="s">
        <v>31</v>
      </c>
    </row>
    <row r="4" spans="1:2">
      <c r="A4" s="51" t="s">
        <v>513</v>
      </c>
      <c r="B4" s="2" t="s">
        <v>31</v>
      </c>
    </row>
    <row r="5" spans="1:2">
      <c r="A5" s="93" t="s">
        <v>132</v>
      </c>
      <c r="B5" s="138" t="s">
        <v>65</v>
      </c>
    </row>
    <row r="6" spans="1:2">
      <c r="A6" s="3" t="s">
        <v>135</v>
      </c>
      <c r="B6" s="2" t="s">
        <v>31</v>
      </c>
    </row>
    <row r="7" spans="1:2">
      <c r="A7" s="3" t="s">
        <v>144</v>
      </c>
      <c r="B7" s="2" t="s">
        <v>31</v>
      </c>
    </row>
    <row r="8" spans="1:2">
      <c r="A8" s="3" t="s">
        <v>50</v>
      </c>
      <c r="B8" s="2" t="s">
        <v>31</v>
      </c>
    </row>
    <row r="9" spans="1:2">
      <c r="A9" s="3" t="s">
        <v>148</v>
      </c>
      <c r="B9" s="2" t="s">
        <v>595</v>
      </c>
    </row>
    <row r="10" spans="1:2">
      <c r="A10" s="3" t="s">
        <v>598</v>
      </c>
      <c r="B10" s="2" t="s">
        <v>610</v>
      </c>
    </row>
    <row r="11" spans="1:2">
      <c r="A11" s="3" t="s">
        <v>152</v>
      </c>
      <c r="B11" s="2" t="s">
        <v>610</v>
      </c>
    </row>
    <row r="12" spans="1:2">
      <c r="A12" s="3" t="s">
        <v>153</v>
      </c>
      <c r="B12" s="2" t="s">
        <v>595</v>
      </c>
    </row>
    <row r="13" spans="1:2">
      <c r="A13" s="3" t="s">
        <v>154</v>
      </c>
      <c r="B13" s="2" t="s">
        <v>610</v>
      </c>
    </row>
    <row r="14" spans="1:2">
      <c r="A14" s="3" t="s">
        <v>157</v>
      </c>
      <c r="B14" s="2" t="s">
        <v>25</v>
      </c>
    </row>
    <row r="15" spans="1:2">
      <c r="A15" s="3" t="s">
        <v>161</v>
      </c>
      <c r="B15" s="2" t="s">
        <v>25</v>
      </c>
    </row>
    <row r="16" spans="1:2">
      <c r="A16" s="3" t="s">
        <v>163</v>
      </c>
      <c r="B16" s="2" t="s">
        <v>610</v>
      </c>
    </row>
    <row r="17" spans="1:2">
      <c r="A17" s="3" t="s">
        <v>57</v>
      </c>
      <c r="B17" s="2" t="s">
        <v>595</v>
      </c>
    </row>
    <row r="18" spans="1:2">
      <c r="A18" s="3" t="s">
        <v>166</v>
      </c>
      <c r="B18" s="2" t="s">
        <v>31</v>
      </c>
    </row>
    <row r="19" spans="1:2">
      <c r="A19" s="93" t="s">
        <v>170</v>
      </c>
      <c r="B19" s="139" t="s">
        <v>65</v>
      </c>
    </row>
    <row r="20" spans="1:2">
      <c r="A20" s="3" t="s">
        <v>286</v>
      </c>
      <c r="B20" s="2" t="s">
        <v>610</v>
      </c>
    </row>
    <row r="21" spans="1:2">
      <c r="A21" s="3" t="s">
        <v>172</v>
      </c>
      <c r="B21" s="2" t="s">
        <v>18</v>
      </c>
    </row>
    <row r="22" spans="1:2">
      <c r="A22" s="3" t="s">
        <v>175</v>
      </c>
      <c r="B22" s="15" t="s">
        <v>18</v>
      </c>
    </row>
    <row r="23" spans="1:2">
      <c r="A23" s="3" t="s">
        <v>176</v>
      </c>
      <c r="B23" s="2" t="s">
        <v>31</v>
      </c>
    </row>
    <row r="24" spans="1:2">
      <c r="A24" s="93" t="s">
        <v>179</v>
      </c>
      <c r="B24" s="139" t="s">
        <v>65</v>
      </c>
    </row>
    <row r="25" spans="1:2">
      <c r="A25" s="93" t="s">
        <v>174</v>
      </c>
      <c r="B25" s="139" t="s">
        <v>65</v>
      </c>
    </row>
    <row r="26" spans="1:2">
      <c r="A26" s="3" t="s">
        <v>180</v>
      </c>
      <c r="B26" s="2" t="s">
        <v>595</v>
      </c>
    </row>
    <row r="27" spans="1:2">
      <c r="A27" s="3" t="s">
        <v>188</v>
      </c>
      <c r="B27" s="2" t="s">
        <v>25</v>
      </c>
    </row>
    <row r="28" spans="1:2">
      <c r="A28" s="3" t="s">
        <v>185</v>
      </c>
      <c r="B28" s="2" t="s">
        <v>31</v>
      </c>
    </row>
    <row r="29" spans="1:2">
      <c r="A29" s="93" t="s">
        <v>64</v>
      </c>
      <c r="B29" s="139" t="s">
        <v>65</v>
      </c>
    </row>
    <row r="30" spans="1:2">
      <c r="A30" s="3" t="s">
        <v>191</v>
      </c>
      <c r="B30" s="2" t="s">
        <v>31</v>
      </c>
    </row>
    <row r="31" spans="1:2">
      <c r="A31" s="3" t="s">
        <v>190</v>
      </c>
      <c r="B31" s="2" t="s">
        <v>31</v>
      </c>
    </row>
    <row r="32" spans="1:2">
      <c r="A32" s="3" t="s">
        <v>193</v>
      </c>
      <c r="B32" s="15" t="s">
        <v>44</v>
      </c>
    </row>
    <row r="33" spans="1:2">
      <c r="A33" s="3" t="s">
        <v>194</v>
      </c>
      <c r="B33" s="2" t="s">
        <v>44</v>
      </c>
    </row>
    <row r="34" spans="1:2">
      <c r="A34" s="3" t="s">
        <v>512</v>
      </c>
      <c r="B34" s="2" t="s">
        <v>44</v>
      </c>
    </row>
    <row r="35" spans="1:2">
      <c r="A35" s="3" t="s">
        <v>73</v>
      </c>
      <c r="B35" s="2" t="s">
        <v>44</v>
      </c>
    </row>
    <row r="36" spans="1:2">
      <c r="A36" s="51" t="s">
        <v>78</v>
      </c>
      <c r="B36" s="2" t="s">
        <v>25</v>
      </c>
    </row>
    <row r="37" spans="1:2">
      <c r="A37" s="3" t="s">
        <v>197</v>
      </c>
      <c r="B37" s="15" t="s">
        <v>31</v>
      </c>
    </row>
    <row r="38" spans="1:2">
      <c r="A38" s="93" t="s">
        <v>196</v>
      </c>
      <c r="B38" s="139" t="s">
        <v>65</v>
      </c>
    </row>
    <row r="39" spans="1:2">
      <c r="A39" s="3" t="s">
        <v>625</v>
      </c>
      <c r="B39" s="2" t="s">
        <v>31</v>
      </c>
    </row>
    <row r="40" spans="1:2">
      <c r="A40" s="3" t="s">
        <v>201</v>
      </c>
      <c r="B40" s="2" t="s">
        <v>31</v>
      </c>
    </row>
    <row r="41" spans="1:2">
      <c r="A41" s="3" t="s">
        <v>203</v>
      </c>
      <c r="B41" s="2" t="s">
        <v>610</v>
      </c>
    </row>
    <row r="42" spans="1:2">
      <c r="A42" s="3" t="s">
        <v>81</v>
      </c>
      <c r="B42" s="2" t="s">
        <v>25</v>
      </c>
    </row>
    <row r="43" spans="1:2">
      <c r="A43" s="3" t="s">
        <v>617</v>
      </c>
      <c r="B43" s="2" t="s">
        <v>25</v>
      </c>
    </row>
    <row r="44" spans="1:2">
      <c r="A44" s="3" t="s">
        <v>205</v>
      </c>
      <c r="B44" s="2" t="s">
        <v>31</v>
      </c>
    </row>
    <row r="45" spans="1:2">
      <c r="A45" s="3" t="s">
        <v>648</v>
      </c>
      <c r="B45" s="2" t="s">
        <v>595</v>
      </c>
    </row>
    <row r="46" spans="1:2">
      <c r="A46" s="3" t="s">
        <v>207</v>
      </c>
      <c r="B46" s="2" t="s">
        <v>25</v>
      </c>
    </row>
    <row r="47" spans="1:2">
      <c r="A47" s="3" t="s">
        <v>206</v>
      </c>
      <c r="B47" s="2" t="s">
        <v>25</v>
      </c>
    </row>
    <row r="48" spans="1:2">
      <c r="A48" s="3" t="s">
        <v>209</v>
      </c>
      <c r="B48" s="2" t="s">
        <v>25</v>
      </c>
    </row>
    <row r="49" spans="1:2">
      <c r="A49" s="3" t="s">
        <v>296</v>
      </c>
      <c r="B49" s="2" t="s">
        <v>18</v>
      </c>
    </row>
    <row r="50" spans="1:2">
      <c r="A50" s="93" t="s">
        <v>85</v>
      </c>
      <c r="B50" s="139" t="s">
        <v>65</v>
      </c>
    </row>
    <row r="51" spans="1:2">
      <c r="A51" s="93" t="s">
        <v>211</v>
      </c>
      <c r="B51" s="138" t="s">
        <v>65</v>
      </c>
    </row>
    <row r="52" spans="1:2">
      <c r="A52" s="93" t="s">
        <v>212</v>
      </c>
      <c r="B52" s="138" t="s">
        <v>65</v>
      </c>
    </row>
    <row r="53" spans="1:2">
      <c r="A53" s="3" t="s">
        <v>215</v>
      </c>
      <c r="B53" s="15" t="s">
        <v>31</v>
      </c>
    </row>
    <row r="54" spans="1:2">
      <c r="A54" s="3" t="s">
        <v>216</v>
      </c>
      <c r="B54" s="2" t="s">
        <v>595</v>
      </c>
    </row>
    <row r="55" spans="1:2">
      <c r="A55" s="3" t="s">
        <v>219</v>
      </c>
      <c r="B55" s="2" t="s">
        <v>595</v>
      </c>
    </row>
    <row r="56" spans="1:2">
      <c r="A56" s="3" t="s">
        <v>213</v>
      </c>
      <c r="B56" s="2" t="s">
        <v>595</v>
      </c>
    </row>
    <row r="57" spans="1:2">
      <c r="A57" s="93" t="s">
        <v>613</v>
      </c>
      <c r="B57" s="139" t="s">
        <v>65</v>
      </c>
    </row>
    <row r="58" spans="1:2">
      <c r="A58" s="3" t="s">
        <v>220</v>
      </c>
      <c r="B58" s="2" t="s">
        <v>595</v>
      </c>
    </row>
    <row r="59" spans="1:2">
      <c r="A59" s="93" t="s">
        <v>222</v>
      </c>
      <c r="B59" s="139" t="s">
        <v>65</v>
      </c>
    </row>
    <row r="60" spans="1:2">
      <c r="A60" s="3" t="s">
        <v>655</v>
      </c>
      <c r="B60" s="2" t="s">
        <v>659</v>
      </c>
    </row>
    <row r="61" spans="1:2">
      <c r="A61" s="3" t="s">
        <v>293</v>
      </c>
      <c r="B61" s="2" t="s">
        <v>25</v>
      </c>
    </row>
    <row r="62" spans="1:2">
      <c r="A62" s="3" t="s">
        <v>224</v>
      </c>
      <c r="B62" s="2" t="s">
        <v>31</v>
      </c>
    </row>
    <row r="63" spans="1:2">
      <c r="A63" s="3" t="s">
        <v>225</v>
      </c>
      <c r="B63" s="2" t="s">
        <v>25</v>
      </c>
    </row>
    <row r="64" spans="1:2">
      <c r="A64" s="3" t="s">
        <v>226</v>
      </c>
      <c r="B64" s="2" t="s">
        <v>18</v>
      </c>
    </row>
    <row r="65" spans="1:2">
      <c r="A65" s="3" t="s">
        <v>228</v>
      </c>
      <c r="B65" s="2" t="s">
        <v>31</v>
      </c>
    </row>
    <row r="66" spans="1:2">
      <c r="A66" s="93" t="s">
        <v>89</v>
      </c>
      <c r="B66" s="139" t="s">
        <v>65</v>
      </c>
    </row>
    <row r="67" spans="1:2">
      <c r="A67" s="3" t="s">
        <v>231</v>
      </c>
      <c r="B67" s="15" t="s">
        <v>25</v>
      </c>
    </row>
    <row r="68" spans="1:2">
      <c r="A68" s="3" t="s">
        <v>232</v>
      </c>
      <c r="B68" s="15" t="s">
        <v>25</v>
      </c>
    </row>
    <row r="69" spans="1:2">
      <c r="A69" s="3" t="s">
        <v>234</v>
      </c>
      <c r="B69" s="2" t="s">
        <v>25</v>
      </c>
    </row>
    <row r="70" spans="1:2">
      <c r="A70" s="46" t="s">
        <v>236</v>
      </c>
      <c r="B70" s="15" t="s">
        <v>18</v>
      </c>
    </row>
    <row r="71" spans="1:2">
      <c r="A71" s="93" t="s">
        <v>101</v>
      </c>
      <c r="B71" s="138" t="s">
        <v>65</v>
      </c>
    </row>
    <row r="72" spans="1:2">
      <c r="A72" s="140" t="s">
        <v>509</v>
      </c>
      <c r="B72" s="138" t="s">
        <v>65</v>
      </c>
    </row>
    <row r="73" spans="1:2">
      <c r="A73" s="140" t="s">
        <v>508</v>
      </c>
      <c r="B73" s="138" t="s">
        <v>65</v>
      </c>
    </row>
    <row r="74" spans="1:2">
      <c r="A74" s="140" t="s">
        <v>510</v>
      </c>
      <c r="B74" s="139" t="s">
        <v>65</v>
      </c>
    </row>
    <row r="75" spans="1:2">
      <c r="A75" s="46" t="s">
        <v>652</v>
      </c>
      <c r="B75" s="2" t="s">
        <v>18</v>
      </c>
    </row>
    <row r="76" spans="1:2">
      <c r="A76" s="46" t="s">
        <v>658</v>
      </c>
      <c r="B76" s="2" t="s">
        <v>18</v>
      </c>
    </row>
    <row r="77" spans="1:2">
      <c r="A77" s="3" t="s">
        <v>238</v>
      </c>
      <c r="B77" s="2" t="s">
        <v>595</v>
      </c>
    </row>
    <row r="78" spans="1:2">
      <c r="A78" s="3" t="s">
        <v>239</v>
      </c>
      <c r="B78" s="2" t="s">
        <v>31</v>
      </c>
    </row>
    <row r="79" spans="1:2">
      <c r="A79" s="3" t="s">
        <v>104</v>
      </c>
      <c r="B79" s="2" t="s">
        <v>44</v>
      </c>
    </row>
    <row r="80" spans="1:2">
      <c r="A80" s="3" t="s">
        <v>240</v>
      </c>
      <c r="B80" s="2" t="s">
        <v>44</v>
      </c>
    </row>
    <row r="81" spans="1:2">
      <c r="A81" s="3" t="s">
        <v>622</v>
      </c>
      <c r="B81" s="2" t="s">
        <v>610</v>
      </c>
    </row>
    <row r="82" spans="1:2">
      <c r="A82" s="93" t="s">
        <v>241</v>
      </c>
      <c r="B82" s="138" t="s">
        <v>65</v>
      </c>
    </row>
    <row r="83" spans="1:2">
      <c r="A83" s="93" t="s">
        <v>241</v>
      </c>
      <c r="B83" s="138" t="s">
        <v>65</v>
      </c>
    </row>
    <row r="84" spans="1:2">
      <c r="A84" s="3" t="s">
        <v>242</v>
      </c>
      <c r="B84" s="2" t="s">
        <v>44</v>
      </c>
    </row>
    <row r="85" spans="1:2">
      <c r="A85" s="46" t="s">
        <v>245</v>
      </c>
      <c r="B85" s="15" t="s">
        <v>25</v>
      </c>
    </row>
    <row r="86" spans="1:2">
      <c r="A86" s="3" t="s">
        <v>244</v>
      </c>
      <c r="B86" s="2" t="s">
        <v>610</v>
      </c>
    </row>
    <row r="87" spans="1:2">
      <c r="A87" s="3" t="s">
        <v>246</v>
      </c>
      <c r="B87" s="2" t="s">
        <v>610</v>
      </c>
    </row>
    <row r="88" spans="1:2">
      <c r="A88" s="3" t="s">
        <v>247</v>
      </c>
      <c r="B88" s="2" t="s">
        <v>31</v>
      </c>
    </row>
    <row r="89" spans="1:2">
      <c r="A89" s="52" t="s">
        <v>108</v>
      </c>
      <c r="B89" s="43" t="s">
        <v>25</v>
      </c>
    </row>
    <row r="90" spans="1:2">
      <c r="A90" s="3" t="s">
        <v>250</v>
      </c>
      <c r="B90" s="2" t="s">
        <v>44</v>
      </c>
    </row>
    <row r="91" spans="1:2">
      <c r="A91" s="3" t="s">
        <v>112</v>
      </c>
      <c r="B91" s="2" t="s">
        <v>44</v>
      </c>
    </row>
    <row r="92" spans="1:2">
      <c r="A92" s="13" t="s">
        <v>657</v>
      </c>
      <c r="B92" s="2" t="s">
        <v>595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8"/>
  <sheetViews>
    <sheetView workbookViewId="0">
      <selection activeCell="E15" sqref="E15"/>
    </sheetView>
  </sheetViews>
  <sheetFormatPr defaultRowHeight="14.5"/>
  <cols>
    <col min="1" max="1" width="22.08984375" style="8" customWidth="1"/>
    <col min="2" max="2" width="20.6328125" customWidth="1"/>
    <col min="3" max="3" width="21.453125" style="1" customWidth="1"/>
    <col min="4" max="4" width="12.36328125" customWidth="1"/>
  </cols>
  <sheetData>
    <row r="1" spans="1:3" ht="17">
      <c r="A1" s="156" t="s">
        <v>697</v>
      </c>
      <c r="B1" s="23" t="s">
        <v>780</v>
      </c>
      <c r="C1" s="23" t="s">
        <v>642</v>
      </c>
    </row>
    <row r="2" spans="1:3">
      <c r="A2" s="185" t="s">
        <v>698</v>
      </c>
      <c r="B2" s="186" t="s">
        <v>770</v>
      </c>
      <c r="C2" s="186" t="s">
        <v>800</v>
      </c>
    </row>
    <row r="3" spans="1:3">
      <c r="A3" s="157"/>
      <c r="B3" s="16"/>
      <c r="C3" s="16"/>
    </row>
    <row r="4" spans="1:3">
      <c r="A4" s="176" t="s">
        <v>699</v>
      </c>
      <c r="B4" s="177" t="s">
        <v>773</v>
      </c>
      <c r="C4" s="177" t="s">
        <v>772</v>
      </c>
    </row>
    <row r="5" spans="1:3">
      <c r="A5" s="176"/>
      <c r="B5" s="178" t="s">
        <v>770</v>
      </c>
      <c r="C5" s="178" t="s">
        <v>779</v>
      </c>
    </row>
    <row r="6" spans="1:3">
      <c r="A6" s="181"/>
      <c r="B6" s="57"/>
      <c r="C6" s="57"/>
    </row>
    <row r="7" spans="1:3">
      <c r="A7" s="183" t="s">
        <v>704</v>
      </c>
      <c r="B7" s="180" t="s">
        <v>771</v>
      </c>
      <c r="C7" s="179" t="s">
        <v>772</v>
      </c>
    </row>
    <row r="8" spans="1:3">
      <c r="A8" s="184"/>
      <c r="B8" s="180" t="s">
        <v>774</v>
      </c>
      <c r="C8" s="179" t="s">
        <v>775</v>
      </c>
    </row>
    <row r="9" spans="1:3">
      <c r="A9" s="182"/>
      <c r="B9" s="180" t="s">
        <v>776</v>
      </c>
      <c r="C9" s="179" t="s">
        <v>778</v>
      </c>
    </row>
    <row r="10" spans="1:3">
      <c r="A10" s="181"/>
      <c r="B10" s="57"/>
      <c r="C10" s="57"/>
    </row>
    <row r="11" spans="1:3">
      <c r="A11" s="190" t="s">
        <v>700</v>
      </c>
      <c r="B11" s="189" t="s">
        <v>774</v>
      </c>
      <c r="C11" s="175" t="s">
        <v>775</v>
      </c>
    </row>
    <row r="12" spans="1:3">
      <c r="A12" s="191"/>
      <c r="B12" s="189" t="s">
        <v>776</v>
      </c>
      <c r="C12" s="175" t="s">
        <v>778</v>
      </c>
    </row>
    <row r="13" spans="1:3">
      <c r="A13" s="157"/>
      <c r="B13" s="30"/>
      <c r="C13" s="57"/>
    </row>
    <row r="14" spans="1:3">
      <c r="A14" s="193" t="s">
        <v>701</v>
      </c>
      <c r="B14" s="192" t="s">
        <v>777</v>
      </c>
      <c r="C14" s="187" t="s">
        <v>800</v>
      </c>
    </row>
    <row r="15" spans="1:3">
      <c r="A15" s="194"/>
      <c r="B15" s="192" t="s">
        <v>771</v>
      </c>
      <c r="C15" s="187" t="s">
        <v>772</v>
      </c>
    </row>
    <row r="16" spans="1:3">
      <c r="A16" s="157"/>
      <c r="B16" s="16"/>
      <c r="C16" s="16"/>
    </row>
    <row r="17" spans="1:3">
      <c r="A17" s="196" t="s">
        <v>702</v>
      </c>
      <c r="B17" s="195" t="s">
        <v>777</v>
      </c>
      <c r="C17" s="188" t="s">
        <v>800</v>
      </c>
    </row>
    <row r="18" spans="1:3">
      <c r="A18" s="197"/>
      <c r="B18" s="195" t="s">
        <v>771</v>
      </c>
      <c r="C18" s="188" t="s">
        <v>772</v>
      </c>
    </row>
  </sheetData>
  <conditionalFormatting sqref="A2:A3">
    <cfRule type="duplicateValues" dxfId="3" priority="27"/>
  </conditionalFormatting>
  <conditionalFormatting sqref="A4:A10 A1 A17:A18">
    <cfRule type="duplicateValues" dxfId="2" priority="26"/>
  </conditionalFormatting>
  <conditionalFormatting sqref="A11:A13">
    <cfRule type="duplicateValues" dxfId="1" priority="23"/>
  </conditionalFormatting>
  <conditionalFormatting sqref="A14:A16">
    <cfRule type="duplicateValues" dxfId="0" priority="24"/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35"/>
  <sheetViews>
    <sheetView workbookViewId="0">
      <selection activeCell="F29" sqref="F29"/>
    </sheetView>
  </sheetViews>
  <sheetFormatPr defaultRowHeight="14.5"/>
  <cols>
    <col min="1" max="1" width="43.36328125" customWidth="1"/>
  </cols>
  <sheetData>
    <row r="1" spans="1:1" ht="15.5">
      <c r="A1" s="163" t="s">
        <v>739</v>
      </c>
    </row>
    <row r="2" spans="1:1" ht="15.5">
      <c r="A2" s="162" t="s">
        <v>706</v>
      </c>
    </row>
    <row r="3" spans="1:1" ht="15.5">
      <c r="A3" s="162" t="s">
        <v>707</v>
      </c>
    </row>
    <row r="4" spans="1:1" ht="15.5">
      <c r="A4" s="162" t="s">
        <v>262</v>
      </c>
    </row>
    <row r="5" spans="1:1" ht="15.5">
      <c r="A5" s="162" t="s">
        <v>708</v>
      </c>
    </row>
    <row r="6" spans="1:1" ht="15.5">
      <c r="A6" s="162" t="s">
        <v>709</v>
      </c>
    </row>
    <row r="7" spans="1:1" ht="15.5">
      <c r="A7" s="162" t="s">
        <v>710</v>
      </c>
    </row>
    <row r="8" spans="1:1" ht="15.5">
      <c r="A8" s="162" t="s">
        <v>711</v>
      </c>
    </row>
    <row r="9" spans="1:1" ht="15.5">
      <c r="A9" s="162" t="s">
        <v>712</v>
      </c>
    </row>
    <row r="10" spans="1:1" ht="15.5">
      <c r="A10" s="162" t="s">
        <v>713</v>
      </c>
    </row>
    <row r="11" spans="1:1" ht="15.5">
      <c r="A11" s="162" t="s">
        <v>714</v>
      </c>
    </row>
    <row r="12" spans="1:1" ht="15.5">
      <c r="A12" s="162" t="s">
        <v>715</v>
      </c>
    </row>
    <row r="13" spans="1:1" ht="15.5">
      <c r="A13" s="162" t="s">
        <v>716</v>
      </c>
    </row>
    <row r="14" spans="1:1" ht="15.5">
      <c r="A14" s="162" t="s">
        <v>717</v>
      </c>
    </row>
    <row r="15" spans="1:1" ht="15.5">
      <c r="A15" s="162" t="s">
        <v>718</v>
      </c>
    </row>
    <row r="16" spans="1:1" ht="15.5">
      <c r="A16" s="162" t="s">
        <v>719</v>
      </c>
    </row>
    <row r="17" spans="1:1" ht="15.5">
      <c r="A17" s="162" t="s">
        <v>720</v>
      </c>
    </row>
    <row r="18" spans="1:1" ht="15.5">
      <c r="A18" s="162" t="s">
        <v>721</v>
      </c>
    </row>
    <row r="19" spans="1:1" ht="15.5">
      <c r="A19" s="162" t="s">
        <v>722</v>
      </c>
    </row>
    <row r="20" spans="1:1" ht="15.5">
      <c r="A20" s="162" t="s">
        <v>723</v>
      </c>
    </row>
    <row r="21" spans="1:1" ht="15.5">
      <c r="A21" s="162" t="s">
        <v>724</v>
      </c>
    </row>
    <row r="22" spans="1:1" ht="15.5">
      <c r="A22" s="162" t="s">
        <v>725</v>
      </c>
    </row>
    <row r="23" spans="1:1" ht="15.5">
      <c r="A23" s="162" t="s">
        <v>726</v>
      </c>
    </row>
    <row r="24" spans="1:1" ht="15.5">
      <c r="A24" s="162" t="s">
        <v>727</v>
      </c>
    </row>
    <row r="25" spans="1:1" ht="15.5">
      <c r="A25" s="162" t="s">
        <v>728</v>
      </c>
    </row>
    <row r="26" spans="1:1" ht="15.5">
      <c r="A26" s="162" t="s">
        <v>729</v>
      </c>
    </row>
    <row r="27" spans="1:1" ht="15.5">
      <c r="A27" s="162" t="s">
        <v>730</v>
      </c>
    </row>
    <row r="28" spans="1:1" ht="15.5">
      <c r="A28" s="162" t="s">
        <v>731</v>
      </c>
    </row>
    <row r="29" spans="1:1" ht="15.5">
      <c r="A29" s="162" t="s">
        <v>732</v>
      </c>
    </row>
    <row r="30" spans="1:1" ht="15.5">
      <c r="A30" s="162" t="s">
        <v>733</v>
      </c>
    </row>
    <row r="31" spans="1:1" ht="15.5">
      <c r="A31" s="162" t="s">
        <v>734</v>
      </c>
    </row>
    <row r="32" spans="1:1" ht="15.5">
      <c r="A32" s="162" t="s">
        <v>735</v>
      </c>
    </row>
    <row r="33" spans="1:1" ht="15.5">
      <c r="A33" s="162" t="s">
        <v>736</v>
      </c>
    </row>
    <row r="34" spans="1:1" ht="15.5">
      <c r="A34" s="162" t="s">
        <v>737</v>
      </c>
    </row>
    <row r="35" spans="1:1" ht="15.5">
      <c r="A35" s="162" t="s">
        <v>738</v>
      </c>
    </row>
  </sheetData>
  <pageMargins left="0.7" right="0.7" top="0.75" bottom="0.75" header="0.3" footer="0.3"/>
  <pageSetup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E9"/>
  <sheetViews>
    <sheetView workbookViewId="0">
      <selection activeCell="E22" sqref="E22"/>
    </sheetView>
  </sheetViews>
  <sheetFormatPr defaultRowHeight="14.5"/>
  <cols>
    <col min="1" max="1" width="17.453125" customWidth="1"/>
    <col min="2" max="2" width="21.54296875" customWidth="1"/>
    <col min="3" max="3" width="25.90625" customWidth="1"/>
    <col min="4" max="4" width="18.6328125" style="1" customWidth="1"/>
    <col min="5" max="5" width="37.6328125" customWidth="1"/>
  </cols>
  <sheetData>
    <row r="2" spans="1:5">
      <c r="A2" s="166" t="s">
        <v>745</v>
      </c>
      <c r="B2" s="356" t="s">
        <v>746</v>
      </c>
      <c r="C2" s="356"/>
      <c r="D2" s="167" t="s">
        <v>763</v>
      </c>
      <c r="E2" s="167" t="s">
        <v>762</v>
      </c>
    </row>
    <row r="3" spans="1:5">
      <c r="A3" s="158" t="s">
        <v>750</v>
      </c>
      <c r="B3" s="158" t="s">
        <v>754</v>
      </c>
      <c r="C3" s="158" t="s">
        <v>744</v>
      </c>
      <c r="D3" s="159" t="s">
        <v>752</v>
      </c>
      <c r="E3" s="158"/>
    </row>
    <row r="4" spans="1:5">
      <c r="A4" s="164" t="s">
        <v>747</v>
      </c>
      <c r="B4" s="164" t="s">
        <v>760</v>
      </c>
      <c r="C4" s="164" t="s">
        <v>751</v>
      </c>
      <c r="D4" s="168" t="s">
        <v>752</v>
      </c>
      <c r="E4" s="169" t="s">
        <v>764</v>
      </c>
    </row>
    <row r="5" spans="1:5">
      <c r="A5" s="165" t="s">
        <v>756</v>
      </c>
      <c r="B5" s="165" t="s">
        <v>768</v>
      </c>
      <c r="C5" s="165" t="s">
        <v>757</v>
      </c>
      <c r="D5" s="170" t="s">
        <v>758</v>
      </c>
      <c r="E5" s="171" t="s">
        <v>765</v>
      </c>
    </row>
    <row r="6" spans="1:5">
      <c r="A6" s="111" t="s">
        <v>742</v>
      </c>
      <c r="B6" s="111" t="s">
        <v>743</v>
      </c>
      <c r="C6" s="111" t="s">
        <v>744</v>
      </c>
      <c r="D6" s="112" t="s">
        <v>753</v>
      </c>
      <c r="E6" s="113" t="s">
        <v>766</v>
      </c>
    </row>
    <row r="7" spans="1:5">
      <c r="A7" s="142" t="s">
        <v>748</v>
      </c>
      <c r="B7" s="142" t="s">
        <v>761</v>
      </c>
      <c r="C7" s="142" t="s">
        <v>749</v>
      </c>
      <c r="D7" s="143" t="s">
        <v>753</v>
      </c>
      <c r="E7" s="142"/>
    </row>
    <row r="8" spans="1:5">
      <c r="A8" s="173" t="s">
        <v>755</v>
      </c>
      <c r="B8" s="173" t="s">
        <v>71</v>
      </c>
      <c r="C8" s="173" t="s">
        <v>744</v>
      </c>
      <c r="D8" s="174" t="s">
        <v>753</v>
      </c>
      <c r="E8" s="173"/>
    </row>
    <row r="9" spans="1:5">
      <c r="A9" s="160" t="s">
        <v>759</v>
      </c>
      <c r="B9" s="160" t="s">
        <v>760</v>
      </c>
      <c r="C9" s="160" t="s">
        <v>751</v>
      </c>
      <c r="D9" s="161" t="s">
        <v>133</v>
      </c>
      <c r="E9" s="172" t="s">
        <v>767</v>
      </c>
    </row>
  </sheetData>
  <mergeCells count="1">
    <mergeCell ref="B2:C2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UNSKILLED</vt:lpstr>
      <vt:lpstr>SKILLED</vt:lpstr>
      <vt:lpstr>Discharged PPT</vt:lpstr>
      <vt:lpstr>EXPIRATION DATES</vt:lpstr>
      <vt:lpstr>Sheet3</vt:lpstr>
      <vt:lpstr>Holidays</vt:lpstr>
      <vt:lpstr>FHC Active Employees</vt:lpstr>
      <vt:lpstr>Sheet10</vt:lpstr>
      <vt:lpstr>Employees</vt:lpstr>
      <vt:lpstr>Sheet1</vt:lpstr>
      <vt:lpstr>Sheet2</vt:lpstr>
      <vt:lpstr>Sheet4</vt:lpstr>
      <vt:lpstr>Sheet5</vt:lpstr>
      <vt:lpstr>Sheet6</vt:lpstr>
      <vt:lpstr>Sheet8</vt:lpstr>
      <vt:lpstr>Sheet9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akram903 tahiry</dc:creator>
  <cp:lastModifiedBy>Elys Milena Cadena Mendoza</cp:lastModifiedBy>
  <cp:revision/>
  <cp:lastPrinted>2025-02-25T16:55:17Z</cp:lastPrinted>
  <dcterms:created xsi:type="dcterms:W3CDTF">2022-05-24T22:23:13Z</dcterms:created>
  <dcterms:modified xsi:type="dcterms:W3CDTF">2026-01-14T17:29:48Z</dcterms:modified>
</cp:coreProperties>
</file>