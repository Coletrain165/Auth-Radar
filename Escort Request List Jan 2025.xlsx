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e.cadena\BrightStar Dropbox\Elys Mendoza\CLIENTS SKILLED\FAMILY HEALTH\Escort Tracker\"/>
    </mc:Choice>
  </mc:AlternateContent>
  <xr:revisionPtr revIDLastSave="0" documentId="8_{6F904A51-D43F-41A8-B3C8-A0976DDF938A}" xr6:coauthVersionLast="47" xr6:coauthVersionMax="47" xr10:uidLastSave="{00000000-0000-0000-0000-000000000000}"/>
  <bookViews>
    <workbookView xWindow="28680" yWindow="-120" windowWidth="29040" windowHeight="15720" activeTab="1" xr2:uid="{9A1F1FC3-AF9A-4648-8DC2-043A30EF14DE}"/>
  </bookViews>
  <sheets>
    <sheet name="Reference" sheetId="1" r:id="rId1"/>
    <sheet name="Schedule" sheetId="2" r:id="rId2"/>
    <sheet name="09112025" sheetId="4" r:id="rId3"/>
    <sheet name="982025" sheetId="3" r:id="rId4"/>
  </sheets>
  <definedNames>
    <definedName name="_xlnm._FilterDatabase" localSheetId="1" hidden="1">Schedule!$A$1:$J$124</definedName>
    <definedName name="_Hlk200096885" localSheetId="0">Reference!$E$2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13" i="2" l="1"/>
  <c r="I114" i="2"/>
  <c r="I115" i="2"/>
  <c r="I116" i="2"/>
  <c r="I117" i="2"/>
  <c r="I118" i="2"/>
  <c r="I119" i="2"/>
  <c r="I120" i="2"/>
  <c r="I121" i="2"/>
  <c r="I128" i="2"/>
  <c r="I127" i="2"/>
  <c r="I112" i="2"/>
  <c r="I110" i="2"/>
  <c r="I108" i="2"/>
  <c r="I124" i="2"/>
  <c r="I104" i="2"/>
  <c r="I105" i="2"/>
  <c r="I106" i="2"/>
  <c r="I107" i="2"/>
  <c r="I103" i="2"/>
  <c r="I101" i="2"/>
  <c r="I111" i="2"/>
  <c r="I84" i="2"/>
  <c r="I85" i="2"/>
  <c r="I88" i="2"/>
  <c r="I89" i="2"/>
  <c r="I90" i="2"/>
  <c r="I91" i="2"/>
  <c r="I92" i="2"/>
  <c r="I93" i="2"/>
  <c r="I94" i="2"/>
  <c r="I95" i="2"/>
  <c r="I96" i="2"/>
  <c r="I97" i="2"/>
  <c r="I98" i="2"/>
  <c r="I99" i="2"/>
  <c r="I100" i="2"/>
  <c r="I102" i="2"/>
  <c r="I109" i="2"/>
  <c r="I122" i="2"/>
  <c r="I123" i="2"/>
  <c r="I126" i="2"/>
  <c r="I86" i="2"/>
  <c r="I87" i="2"/>
  <c r="I83" i="2" l="1"/>
  <c r="I80" i="2" l="1"/>
  <c r="I81" i="2"/>
  <c r="I78" i="2"/>
  <c r="I77" i="2"/>
  <c r="I61" i="2"/>
  <c r="I72" i="2"/>
  <c r="I73" i="2"/>
  <c r="I82" i="2"/>
  <c r="I76" i="2"/>
  <c r="I68" i="2"/>
  <c r="I69" i="2"/>
  <c r="I66" i="2" l="1"/>
  <c r="I67" i="2"/>
  <c r="I65" i="2"/>
  <c r="I71" i="2"/>
  <c r="I60" i="2"/>
  <c r="I59" i="2"/>
  <c r="I58" i="2"/>
  <c r="I62" i="2" l="1"/>
  <c r="I53" i="2" l="1"/>
  <c r="I52" i="2"/>
  <c r="I75" i="2"/>
  <c r="I64" i="2"/>
  <c r="I57" i="2"/>
  <c r="I55" i="2"/>
  <c r="I51" i="2"/>
  <c r="I48" i="2"/>
  <c r="I47" i="2" l="1"/>
  <c r="I49" i="2"/>
  <c r="I46" i="2"/>
  <c r="I43" i="2"/>
  <c r="I44" i="2"/>
  <c r="I56" i="2"/>
  <c r="I39" i="2"/>
  <c r="I40" i="2"/>
  <c r="I41" i="2"/>
  <c r="I50" i="2"/>
  <c r="I36" i="2" l="1"/>
  <c r="I37" i="2"/>
  <c r="I38" i="2"/>
  <c r="I35" i="2"/>
  <c r="I34" i="2"/>
  <c r="I42" i="2" l="1"/>
  <c r="I32" i="2"/>
  <c r="I74" i="2" l="1"/>
  <c r="I70" i="2"/>
  <c r="I63" i="2"/>
  <c r="I54" i="2"/>
  <c r="I45" i="2" l="1"/>
  <c r="I33" i="2"/>
  <c r="I31" i="2" l="1"/>
  <c r="I30" i="2"/>
  <c r="I29" i="2"/>
  <c r="I28" i="2"/>
  <c r="I27" i="2" l="1"/>
  <c r="I26" i="2"/>
  <c r="I25" i="2"/>
  <c r="I24" i="2"/>
  <c r="I23" i="2"/>
  <c r="I16" i="2" l="1"/>
  <c r="I17" i="2"/>
  <c r="I18" i="2"/>
  <c r="I19" i="2" l="1"/>
  <c r="I21" i="2"/>
  <c r="I22" i="2"/>
  <c r="I20" i="2"/>
  <c r="I10" i="2"/>
  <c r="I15" i="2"/>
  <c r="I14" i="2"/>
  <c r="I12" i="2"/>
  <c r="I13" i="2"/>
  <c r="I11" i="2"/>
  <c r="I9" i="2"/>
  <c r="I3" i="2"/>
  <c r="I4" i="2"/>
  <c r="I5" i="2"/>
  <c r="I6" i="2"/>
  <c r="I7" i="2"/>
  <c r="I8" i="2"/>
  <c r="I2" i="2"/>
</calcChain>
</file>

<file path=xl/sharedStrings.xml><?xml version="1.0" encoding="utf-8"?>
<sst xmlns="http://schemas.openxmlformats.org/spreadsheetml/2006/main" count="872" uniqueCount="320">
  <si>
    <t>Escort should relay information about follow-up appointments to Brightstar (if any) so it can be communicated to PACE</t>
  </si>
  <si>
    <t>Oceanside Contacts:</t>
  </si>
  <si>
    <r>
      <t>POC for Escort questions</t>
    </r>
    <r>
      <rPr>
        <sz val="12"/>
        <color theme="1"/>
        <rFont val="Calibri"/>
        <family val="2"/>
        <scheme val="minor"/>
      </rPr>
      <t>:</t>
    </r>
  </si>
  <si>
    <t xml:space="preserve">1. Leah Cabrera – Nurse Manager – 619 318 8062 or +1 760 826 7223 x8061 </t>
  </si>
  <si>
    <t>2. Lizbeth Padilla – CNA – 619 994 2601 or 760 826 7223 x8052</t>
  </si>
  <si>
    <t>4. Ed Sanchez -Transportation Supervisor – 858 466 9470 or 1 (619) 5152300 x 7033 – can provide status location of ptp/driver</t>
  </si>
  <si>
    <t>5. Traci Villanueva – Center Manager - +1 (760) 8267223 x8010 or +1 (619) 8762536</t>
  </si>
  <si>
    <t>College Grove Contacts:</t>
  </si>
  <si>
    <t>1. Case Manager of patient</t>
  </si>
  <si>
    <t>2. Please call the PACE main line at (619) 515-2445 and select option 4 for transportation.</t>
  </si>
  <si>
    <t>Date</t>
  </si>
  <si>
    <t>Check in</t>
  </si>
  <si>
    <t>Patient</t>
  </si>
  <si>
    <t>Appointment Address</t>
  </si>
  <si>
    <t>Comment</t>
  </si>
  <si>
    <t>Assigned BSC Staff</t>
  </si>
  <si>
    <t>Auth received?</t>
  </si>
  <si>
    <t>PACE Loc</t>
  </si>
  <si>
    <t>MM-YY</t>
  </si>
  <si>
    <t>2:40PM</t>
  </si>
  <si>
    <t>Susan McAllister</t>
  </si>
  <si>
    <t>3613 Vista Way, Oceanside 92056.</t>
  </si>
  <si>
    <t>meet at appt loc</t>
  </si>
  <si>
    <t>Roya Tahiry</t>
  </si>
  <si>
    <t>yes</t>
  </si>
  <si>
    <t>OS</t>
  </si>
  <si>
    <t>8:00AM</t>
  </si>
  <si>
    <t>Josie Brunson</t>
  </si>
  <si>
    <t xml:space="preserve">North Park FHCSD, 3455 30th Street San Diego CA 92104. </t>
  </si>
  <si>
    <t>Samantha Lopez</t>
  </si>
  <si>
    <t>2:00PM</t>
  </si>
  <si>
    <t>Mark McGinn</t>
  </si>
  <si>
    <t>4150 Regents Row, Suite 195, La Jolla 92037</t>
  </si>
  <si>
    <t>Mordecai Yusuf</t>
  </si>
  <si>
    <t>10:15AM</t>
  </si>
  <si>
    <t>Maria Juarez</t>
  </si>
  <si>
    <t>Logan Heights Family Health clinic  1809 National Ave San Diego 92113</t>
  </si>
  <si>
    <t>Samantha Rodriguez</t>
  </si>
  <si>
    <t>CG</t>
  </si>
  <si>
    <t>1:15PM</t>
  </si>
  <si>
    <t>Linda Thomas</t>
  </si>
  <si>
    <t>Cardiology-ECHO- 320 Santa Fe Drive STE 204, Encinitas, CA
92024 (60MIN)</t>
  </si>
  <si>
    <t>7:00AM</t>
  </si>
  <si>
    <t>Jose Puerto</t>
  </si>
  <si>
    <t>MOORES CANCER CENTER: 3855 Health Sciences Dr, La Jolla, CA, 92037.</t>
  </si>
  <si>
    <t>Claudia Fronda</t>
  </si>
  <si>
    <t>12:45PM</t>
  </si>
  <si>
    <t>UCSD - 9444 medical center drive Suite 1-100 La Jolla 92037</t>
  </si>
  <si>
    <t>11:30AM</t>
  </si>
  <si>
    <t>3:30PM</t>
  </si>
  <si>
    <t>Jose Suarez</t>
  </si>
  <si>
    <t>Hillcrest Family Health Center. 4094 Fourth Ave, San Diego, CA 92103</t>
  </si>
  <si>
    <t>Tristan Ortega</t>
  </si>
  <si>
    <t>Yes</t>
  </si>
  <si>
    <t>9:30AM</t>
  </si>
  <si>
    <t>EFHC/OPTOMETRY 128 N Broadway, Escondido, CA 92025
(45Min) (WILL NEED ESCORT)</t>
  </si>
  <si>
    <t xml:space="preserve"> Ophthalmology. 2267 W Vista Way. Suit 120. Vista 92083</t>
  </si>
  <si>
    <t>Cardiology, F/U Echo results- 320 Santa Fe Drive STE 204,
Encinitas, CA 92024 (30MIN)</t>
  </si>
  <si>
    <t>12:30pm</t>
  </si>
  <si>
    <t>5:30PM-6:00PM</t>
  </si>
  <si>
    <t>James Gaston</t>
  </si>
  <si>
    <t>Sharp Grossmont Hospital 5555 Grossmont Center Dr, La Mesa, CA 91942</t>
  </si>
  <si>
    <t>meet at appt loc and the follow to the house to make the two hours</t>
  </si>
  <si>
    <t>10:30AM</t>
  </si>
  <si>
    <t>12:00PM</t>
  </si>
  <si>
    <t>Logan Heights Family Health  1809 National Ave San Diego 92113</t>
  </si>
  <si>
    <t>pending</t>
  </si>
  <si>
    <t>cancelled</t>
  </si>
  <si>
    <t>9:10AM</t>
  </si>
  <si>
    <t>2:20PM</t>
  </si>
  <si>
    <t xml:space="preserve">Caregiver arrives at 2:20 PM-4:00 PM. 
UCSD Neurology F/U w/Dr. Headley at 9444 Medical Center Dr. Ste 1-100, La Jolla 92037 (30MINS) PH:(858)657-8540 </t>
  </si>
  <si>
    <t>A. Seid</t>
  </si>
  <si>
    <t>11:15AM</t>
  </si>
  <si>
    <t>Tamir Lucas</t>
  </si>
  <si>
    <t>Lucia Garcia Chavez</t>
  </si>
  <si>
    <t>10:20AM</t>
  </si>
  <si>
    <t>157 E Valley Parkway Suite 200 Escondido 92025</t>
  </si>
  <si>
    <t>cancelled, ptp refused</t>
  </si>
  <si>
    <t>Trina Tahiry</t>
  </si>
  <si>
    <t>Debra Thornton</t>
  </si>
  <si>
    <t>3 hrs at 200 W Arbor Dr. San Diego 92103 1st floor - UCSD radiology</t>
  </si>
  <si>
    <t>1:45PM</t>
  </si>
  <si>
    <t>Perla Carrera</t>
  </si>
  <si>
    <t>UCSD 4510 Executive Dr. Suite 325, San Diego 92121.</t>
  </si>
  <si>
    <t>Joan Bright</t>
  </si>
  <si>
    <t>7:30AM</t>
  </si>
  <si>
    <t xml:space="preserve">Bobbie Sbabo </t>
  </si>
  <si>
    <t>Gastroenterology, colonoscopy- Scripps Memorial Encinitas- 354 Santa Fe Dr, Encinitas, CA 92024 (3-4HRS)</t>
  </si>
  <si>
    <t>16950 Via Tazon, San Diego, 92127 , 1PM for 20mins</t>
  </si>
  <si>
    <t>Ekjot Atwal</t>
  </si>
  <si>
    <t>3. Shari Daish/Jocelyn Guerra – RNCM –  760 826 7223/ x8073 / x8034</t>
  </si>
  <si>
    <t>Escort assistance needed from BRIGHTSTAR for Colonoscopy appt on 8/20/25
12:15PM(C/I 11:15AM )Gastroenterology, colonoscopy-
Scripps Memorial Hospital- 354 Santa Fe Dr, Encinitas, CA 92024 (2HR30MIN) REF 5586432
for approximately 3 h.</t>
  </si>
  <si>
    <t>Mary Alfano</t>
  </si>
  <si>
    <t>Hae Jung Shin</t>
  </si>
  <si>
    <t>La Jolla</t>
  </si>
  <si>
    <t>meet appt loc</t>
  </si>
  <si>
    <t>Adam Montgomery</t>
  </si>
  <si>
    <t>Meet at 4:30 after procedure in UCSD Gastroenterology 200 W Arbor Dr San Diego 921033 and follow ptp to his house to help him get settled 50520 Wightman St Apt 11 SAn Diego 92105</t>
  </si>
  <si>
    <t>4:30PM</t>
  </si>
  <si>
    <t>9:00am</t>
  </si>
  <si>
    <t>Nathaniel Gardner</t>
  </si>
  <si>
    <t>NPFHC Acupuncture 3544 30th st San diego</t>
  </si>
  <si>
    <t>6:30AM</t>
  </si>
  <si>
    <t>Ophthalmology appt. 9415 CAMPUS POINT DR. LA JOLLA 92037</t>
  </si>
  <si>
    <t>Meet ptp at 0645AM for check in at 7am at Sharp Grossmont and remain with
participant as appropriate until ptp is picked up by PACE transportation after procedure.
5555 Grossmont Center Dr, La Mesa CA 91942</t>
  </si>
  <si>
    <t>Stephan Clark</t>
  </si>
  <si>
    <t>6:45AM</t>
  </si>
  <si>
    <t>Alliance Retina Consultants
8262 University Ave, La Mesa 91942 (1hr)</t>
  </si>
  <si>
    <t>no</t>
  </si>
  <si>
    <t>Rifqa Anglo</t>
  </si>
  <si>
    <t xml:space="preserve">Cardiology appointment on 10/27/25  Check in: at 11:30am for 11:45am appt. Address: San Diego Cardiovascular Associates. 320 Santa Fe Dr STE 204 Encinitas Ca. (1hr appt) </t>
  </si>
  <si>
    <t>Victoria Turest</t>
  </si>
  <si>
    <t>200 W Arbor Dr. San Diego 92103 1st floor - UCSD radiology - up to 8 hrs</t>
  </si>
  <si>
    <t>10:55AM</t>
  </si>
  <si>
    <t>Maria juarez</t>
  </si>
  <si>
    <t>Greider Eye - 2067 W. Vista Way Suite 120 Vista CA 92083</t>
  </si>
  <si>
    <t>11:30Am</t>
  </si>
  <si>
    <t>Fredrick Bernanke</t>
  </si>
  <si>
    <t>8950 Villa La Jolla Dr Suite C101 La Jolla 92037</t>
  </si>
  <si>
    <t>CANCELLED</t>
  </si>
  <si>
    <t>Arch Health Medical Group - 2130 Citricado Pkwy Suite 220 Escondido 92029</t>
  </si>
  <si>
    <t>0500AM</t>
  </si>
  <si>
    <t>Maria Aguilar Castaneda</t>
  </si>
  <si>
    <t>7am</t>
  </si>
  <si>
    <t>Jerry stephens</t>
  </si>
  <si>
    <t>chula vista scripps</t>
  </si>
  <si>
    <t>4PM</t>
  </si>
  <si>
    <t>Mark Sepich</t>
  </si>
  <si>
    <t>Joette Brown</t>
  </si>
  <si>
    <t xml:space="preserve"> 477 North El Camino Real, D204, Encinitas CA 92024 </t>
  </si>
  <si>
    <t>Gregorio Jimenez</t>
  </si>
  <si>
    <t>1PM</t>
  </si>
  <si>
    <t>9am</t>
  </si>
  <si>
    <t>Saira Sorkhabi</t>
  </si>
  <si>
    <t>1809 National Ave
San Diego, CA 92113</t>
  </si>
  <si>
    <t>4002 Vista Way Oceanside CA 92056
Surgery Thoracic at Tri City Medical Center</t>
  </si>
  <si>
    <t>8262 University Ave
La Mesa, CA 91942
Ph (619)668-0045</t>
  </si>
  <si>
    <t>Altagracia Silva</t>
  </si>
  <si>
    <t>Parwin Shirzad</t>
  </si>
  <si>
    <t>1:00PM</t>
  </si>
  <si>
    <t>David Smith</t>
  </si>
  <si>
    <t>200 W Arbor Dr. Suite 8788 San Diego 92103 
follow transportation to the ptp address after for 2 hrs home care 2852 47th St. San Diego 92105.</t>
  </si>
  <si>
    <t>D. Stone</t>
  </si>
  <si>
    <t>C. Flenoid</t>
  </si>
  <si>
    <t>M. Piza Diego</t>
  </si>
  <si>
    <t>950AM</t>
  </si>
  <si>
    <t>11AM</t>
  </si>
  <si>
    <t>525 E Main St. El Cajon, CA. Ph: 619-515-2498</t>
  </si>
  <si>
    <t>830AM</t>
  </si>
  <si>
    <t>sharp chula vista speech therapy</t>
  </si>
  <si>
    <t>Adriana Chavez</t>
  </si>
  <si>
    <t>rifqa said hey pick him up without letting him know</t>
  </si>
  <si>
    <t>12PM</t>
  </si>
  <si>
    <t>Nancy Gallaher</t>
  </si>
  <si>
    <t>Oral surgery center - 4067 Park Blvd San Diego CA 92103. 
follow the PACE transport after pick up and assist the ptp to get settled once she arrives home</t>
  </si>
  <si>
    <t>3:00PM</t>
  </si>
  <si>
    <t>Marlene Bolte</t>
  </si>
  <si>
    <t>12:30PM</t>
  </si>
  <si>
    <t>Luz Garcia</t>
  </si>
  <si>
    <t>150 W Washington St, San Diego, CA 92103</t>
  </si>
  <si>
    <t>Beth Kiah</t>
  </si>
  <si>
    <t>5555 Grossmont Center Dr. La Mesa 91942
Dr. David and Donna Cancer Center with Hematology (Dr. Batra).</t>
  </si>
  <si>
    <t>9:45AM</t>
  </si>
  <si>
    <t>Deborah Werntz</t>
  </si>
  <si>
    <t>Scripps Memorial Encinitas - 354 Santa Fe Dr Encinitas 92024</t>
  </si>
  <si>
    <t>Merced Chavez</t>
  </si>
  <si>
    <t xml:space="preserve">Carol-Sue Snyder </t>
  </si>
  <si>
    <t>10am-1pm</t>
  </si>
  <si>
    <t>Accompany ppt to urgent care ECFHC 525 E. Main Street El Cajon CA 92020. Assist with ADLs/iADLs during visit including toileting, dressing/undressing as needed, mobility/transfers/ambulation.</t>
  </si>
  <si>
    <t>Chelsea C</t>
  </si>
  <si>
    <t>1pm</t>
  </si>
  <si>
    <t>Encinitas UCSD wound care</t>
  </si>
  <si>
    <t>4:10PM</t>
  </si>
  <si>
    <t>Diamond Neighborhood Family Health Center 
4725 Market Street San Diego 92102</t>
  </si>
  <si>
    <t>Amalia Martinez</t>
  </si>
  <si>
    <t>Alfredo Mora</t>
  </si>
  <si>
    <t>Micahel Klarr</t>
  </si>
  <si>
    <t>Linda Cory</t>
  </si>
  <si>
    <t xml:space="preserve">Beth </t>
  </si>
  <si>
    <t>Tamir</t>
  </si>
  <si>
    <t>Laura</t>
  </si>
  <si>
    <t>Perla</t>
  </si>
  <si>
    <t>Maria Martinez</t>
  </si>
  <si>
    <t>Richard Lowery</t>
  </si>
  <si>
    <t>Taylor Harmon</t>
  </si>
  <si>
    <t>Altagracia</t>
  </si>
  <si>
    <t>Parwin</t>
  </si>
  <si>
    <t>NONE</t>
  </si>
  <si>
    <t>Cancelled</t>
  </si>
  <si>
    <t>8:00am</t>
  </si>
  <si>
    <t xml:space="preserve">Eduardo Adame </t>
  </si>
  <si>
    <t>10:45AM</t>
  </si>
  <si>
    <t>La Mesa Family Counseling Center
7290 El Cajon Blvd San Diego, CA 92115</t>
  </si>
  <si>
    <t>400 Campus Point Dr. (2nd floor) La Jolla 92037</t>
  </si>
  <si>
    <t>Escort Assistance
Joan Bright
meet at 3:35PM at San Diego Retina (Dr Jacobsen)
3231 Waring Ct. Ste S, Oceanside 92056</t>
  </si>
  <si>
    <t>3:35PM</t>
  </si>
  <si>
    <t>1:45pm for 2:00pm appt at Professional Hearing Associates- 3231 Waring
Rd., Ste. H., Oceanside, CA- 92056.</t>
  </si>
  <si>
    <t>Edward Goldstone</t>
  </si>
  <si>
    <t>Chelsea</t>
  </si>
  <si>
    <t>meet at appointment loc</t>
  </si>
  <si>
    <t>Silvino Ordonez</t>
  </si>
  <si>
    <t>130 CITRACADO PARKWAY STE
210., ESCONDIDO, CA-92029</t>
  </si>
  <si>
    <t>2:45pm</t>
  </si>
  <si>
    <t>3:45pm</t>
  </si>
  <si>
    <t>Debra Witt</t>
  </si>
  <si>
    <t>Family Health Center - 4725 Market St. 92103.</t>
  </si>
  <si>
    <t>Tomas orea</t>
  </si>
  <si>
    <t>Jose Martinez</t>
  </si>
  <si>
    <t>Susan R</t>
  </si>
  <si>
    <t>Andrres G.</t>
  </si>
  <si>
    <t>La Mesa</t>
  </si>
  <si>
    <t>11:10am</t>
  </si>
  <si>
    <t>Tina Camarda</t>
  </si>
  <si>
    <t>2:15pm</t>
  </si>
  <si>
    <t>11am</t>
  </si>
  <si>
    <t>Margarita Sanchez y Lara</t>
  </si>
  <si>
    <t>Cancer Center Oncology Medical Group for a
12:45pm appointment check in to provide escort services:
5555 Grossmont Center Dr. La Mesa, CA 91942</t>
  </si>
  <si>
    <t>UCSDUROLOGY CLINIC - 200W. ARBOR DR, 3RDFLOOR, STE 4, SANDIEGO, CA-92103</t>
  </si>
  <si>
    <t>Antoine Sterling</t>
  </si>
  <si>
    <t>Rosa Adame</t>
  </si>
  <si>
    <t>1:30PM</t>
  </si>
  <si>
    <t>Fistulogram w/Dr. Ross on the 2nd floor
200 W. Arbor Dr. San Diego, CA 92103
2:00pm appointment (12pm check in) for 3hr procedure</t>
  </si>
  <si>
    <t>Aiden Sanantonio</t>
  </si>
  <si>
    <t>1:45pm</t>
  </si>
  <si>
    <t>Maria Diliberti</t>
  </si>
  <si>
    <t xml:space="preserve">2:15PM </t>
  </si>
  <si>
    <t xml:space="preserve">wound care with Dr Anderson 477 North El Camino Real, D204, Encinitas CA 92024 </t>
  </si>
  <si>
    <t>DNFHC Wound Care
4725 Market St San Diego, CA 92102</t>
  </si>
  <si>
    <t>8:15AM</t>
  </si>
  <si>
    <t>Reina Figueroa</t>
  </si>
  <si>
    <t>9:30am</t>
  </si>
  <si>
    <t>Gumesindo Aragon Cosme</t>
  </si>
  <si>
    <t>2-3hrs
Cataract surgery 3903 Waring Road Oceanside CA 92056. Need escort post procedure only return home / follow to the pt address to help ptp get settled</t>
  </si>
  <si>
    <t>9:55AM</t>
  </si>
  <si>
    <t>Urology, Dr. Julian Anthony, F/U- 2130 Citracado Parkway, Ste.210, Escondido, CA- 920</t>
  </si>
  <si>
    <t>UCSD Audiology
9350 Campus Point Dr Lower Level, La Jolla CA 92037 Phone(858)657-8590</t>
  </si>
  <si>
    <t xml:space="preserve">2:30PM </t>
  </si>
  <si>
    <t>Timothy Henderson</t>
  </si>
  <si>
    <t>Raquel Salas</t>
  </si>
  <si>
    <t>2067 W Vista Way, Suite 120, Vista, CA 92083</t>
  </si>
  <si>
    <t>Khadijah Muhammad</t>
  </si>
  <si>
    <t>leah sent email 9/19</t>
  </si>
  <si>
    <t>leah sent email 9/22</t>
  </si>
  <si>
    <t>315pm for a 3:40pm dermatology appointment at
HFHC-IMR
4094 4th ave San Diego, CA 92103</t>
  </si>
  <si>
    <t>3:15PM</t>
  </si>
  <si>
    <t>Adolfo Mendoza Ferreyra</t>
  </si>
  <si>
    <t>920am for a 9:50am appointment at
HFHC/ Sports Medicine
4094 4th ave San Diego, CA 92103</t>
  </si>
  <si>
    <t>9:20AM</t>
  </si>
  <si>
    <t>12:00pm</t>
  </si>
  <si>
    <t>630am - 1230pm</t>
  </si>
  <si>
    <t>6:30am for check in at UCSD Ophthalmology
9415 Campus Point Dr. La Jolla, CA 92037</t>
  </si>
  <si>
    <t>8:15am</t>
  </si>
  <si>
    <t>Olson, Taag</t>
  </si>
  <si>
    <t>9095 Rio San Diego Drive
Suite 450
San Diego, CA 92108</t>
  </si>
  <si>
    <t>Suarez, Jose</t>
  </si>
  <si>
    <t>9:00AM</t>
  </si>
  <si>
    <t>Please meet participant ~9am for 915am check in at
4250 First Ave San Diego, CA 92103</t>
  </si>
  <si>
    <t>Liebrich, Jim</t>
  </si>
  <si>
    <t>4094 4th Ave San Diego, CA 92103</t>
  </si>
  <si>
    <t>9:15AM</t>
  </si>
  <si>
    <t>Cory, Linda</t>
  </si>
  <si>
    <t>10:05AM</t>
  </si>
  <si>
    <t>328 Highland Ave Ste 200 El Cajon, CA 92020</t>
  </si>
  <si>
    <t>Warren, Stuart</t>
  </si>
  <si>
    <t>4060 4th Ave ste 220 San Diego, CA 92103</t>
  </si>
  <si>
    <t>FHCC Podiatry
1550 Broadway San Diego, CA 92101</t>
  </si>
  <si>
    <t>945am at Golden Hills for PACE Transport pick up
1201 34th St San Diego, CA 92102
1. Please travel with the participant on PACE transport to/from Podiatry appointment
and assist as needed
Podiatry appt 1045am at 1550 Broadway San Diego, CA 92101</t>
  </si>
  <si>
    <t>claudia</t>
  </si>
  <si>
    <t>bibiana</t>
  </si>
  <si>
    <t>none/cancelled</t>
  </si>
  <si>
    <t>Marlynn Arnold</t>
  </si>
  <si>
    <t>Neurology, initial- UCSD 4510 Executive Dr. STE 325
3rd floor., San Diego, CA 92121</t>
  </si>
  <si>
    <t>345PM</t>
  </si>
  <si>
    <t>Jim Liebrich</t>
  </si>
  <si>
    <t>Leeann Szyczygiel</t>
  </si>
  <si>
    <t>Hussein jamali</t>
  </si>
  <si>
    <t>4510 Executive Dr. Suite 325 3rd floor, San Diego 92121</t>
  </si>
  <si>
    <t>Juan Hernandez</t>
  </si>
  <si>
    <t xml:space="preserve">not </t>
  </si>
  <si>
    <t>130PM</t>
  </si>
  <si>
    <t>PRESTERA EYE MEDICAL GROUP- 100 N.
RANCHO SANTA FE RD., STE 126., SAN MARCOS, CA-92069 45 min appt</t>
  </si>
  <si>
    <t>11770 Bernardo Pl #270, San
Diego CA 92128</t>
  </si>
  <si>
    <t>Antonia Fuentes</t>
  </si>
  <si>
    <t>yes 10/10</t>
  </si>
  <si>
    <t>Radiology, mammogram- IHS 477 N. El Camino
Real Suite A-102, Encinitas, CA 92024 (30MIN)</t>
  </si>
  <si>
    <t>josie Brunson</t>
  </si>
  <si>
    <t>george cachu</t>
  </si>
  <si>
    <t>yes 1014</t>
  </si>
  <si>
    <t>Chula Vista</t>
  </si>
  <si>
    <t>Randy Nemetz</t>
  </si>
  <si>
    <t>11:15am for 11:30am check in at UCSD Radiology
First Floor - UCSD - 4250 First Ave, San Diego, CA 92103</t>
  </si>
  <si>
    <t>Jack joy</t>
  </si>
  <si>
    <t>1030AM - 1PM</t>
  </si>
  <si>
    <t>Steven Berend</t>
  </si>
  <si>
    <t>ESCONDIDO FAMILY HEALTH CENTER ,128 N BROADWAY , ESCONDIDO, CA 92025-2714.</t>
  </si>
  <si>
    <t>Radiology, CT-thorax- UCSD KOP 9400 Campus Point Drive, La Jolla, CA 92037</t>
  </si>
  <si>
    <t>SAN DIEGO CARDIOVASCULAR
ASSOCIATES, 320 SANTA FE DR. STE 204, ENCINITAS, CA-92024</t>
  </si>
  <si>
    <t>2130 Citracado Parkway, STE 210,
Escondido, CA- 92029</t>
  </si>
  <si>
    <r>
      <t xml:space="preserve">colonoscopy w/Dr. Bortniker- Scripps
</t>
    </r>
    <r>
      <rPr>
        <b/>
        <sz val="11"/>
        <color theme="1"/>
        <rFont val="Calibri"/>
        <family val="2"/>
        <scheme val="minor"/>
      </rPr>
      <t>Memorial Encinitas- 354 Santa Fe Dr, Encinitas, CA 92024.</t>
    </r>
  </si>
  <si>
    <t>Delilah Dulina</t>
  </si>
  <si>
    <t>Karina Gashimov</t>
  </si>
  <si>
    <t>Joseph Loya</t>
  </si>
  <si>
    <t>John Willis</t>
  </si>
  <si>
    <t>12:15pm</t>
  </si>
  <si>
    <t>2:10pm</t>
  </si>
  <si>
    <t>2:10pm pm for 2:30pm appt at HFHC Dermatology
4094 4TH AVE San Diego, CA 92103</t>
  </si>
  <si>
    <t>1230pm for 1pm appointment at LH FHC Acupuncture
1809 National Ave San Diego, CA 92113</t>
  </si>
  <si>
    <t>12:15pm for a 1230pm check in at
3939 Ruffin Rd STE 102 San Diego, CA 92123</t>
  </si>
  <si>
    <t>8:10 am for 8:25am check in at UCSD Endocrinology
9350 Campus point dr, Ste LL-C La Jolla, CA 92037</t>
  </si>
  <si>
    <t>1230pm for 1pm Dental appointment at LHFHC Dental
1809 National Ave San Diego, CA 92113</t>
  </si>
  <si>
    <t>8:10am</t>
  </si>
  <si>
    <t>930am for 9:45am check in for Nephrology appt
4060 4TH AVENUE STE 220 SAN DIEGO, CA-92103</t>
  </si>
  <si>
    <t xml:space="preserve"> 2:45 pm for check in SD PODIATRY 2650
CAMINO DEL RIO N. STE 101 SAN DIEGO, CA-92108 3.</t>
  </si>
  <si>
    <t>2:45PM</t>
  </si>
  <si>
    <t xml:space="preserve">yes </t>
  </si>
  <si>
    <t>El Cajon</t>
  </si>
  <si>
    <t>11/6/25  11:30AM(C/I 11:15AM)Wound Clinic, f/u w/Dr. Anderson- 477 N. El Camino Real STE D204, Encinitas, CA 92024 PH: 760-452-2222</t>
  </si>
  <si>
    <t>~3:30pm for a 4pm appointment at HFHC Neurology
4094 4th avenue San Diego, CA 92103</t>
  </si>
  <si>
    <t>Roberto Reyes</t>
  </si>
  <si>
    <t>330pm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</si>
</sst>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theme="0"/>
      <name val="Calibri"/>
      <family val="2"/>
      <scheme val="minor"/>
    </font>
    <font>
      <b/>
      <sz val="11"/>
      <color theme="1"/>
      <name val="Calibri"/>
      <family val="2"/>
      <scheme val="minor"/>
    </font>
    <font>
      <sz val="12"/>
      <color theme="1"/>
      <name val="Times New Roman"/>
      <family val="1"/>
    </font>
    <font>
      <sz val="12"/>
      <color theme="1"/>
      <name val="Aptos"/>
      <family val="2"/>
    </font>
    <font>
      <sz val="12"/>
      <color theme="1"/>
      <name val="Calibri"/>
      <family val="2"/>
      <scheme val="minor"/>
    </font>
    <font>
      <b/>
      <sz val="12"/>
      <color theme="1"/>
      <name val="Calibri"/>
      <family val="2"/>
      <scheme val="minor"/>
    </font>
    <font>
      <sz val="11"/>
      <color theme="1"/>
      <name val="Aptos"/>
      <family val="2"/>
    </font>
    <font>
      <sz val="11"/>
      <color theme="1"/>
      <name val="Calibri"/>
      <family val="2"/>
    </font>
    <font>
      <sz val="11"/>
      <color rgb="FF000000"/>
      <name val="Calibri"/>
      <family val="2"/>
    </font>
  </fonts>
  <fills count="9">
    <fill>
      <patternFill patternType="none"/>
    </fill>
    <fill>
      <patternFill patternType="gray125"/>
    </fill>
    <fill>
      <patternFill patternType="solid">
        <fgColor rgb="FFFFFF00"/>
        <bgColor indexed="64"/>
      </patternFill>
    </fill>
    <fill>
      <patternFill patternType="solid">
        <fgColor theme="9" tint="0.59999389629810485"/>
        <bgColor indexed="64"/>
      </patternFill>
    </fill>
    <fill>
      <patternFill patternType="solid">
        <fgColor theme="4" tint="0.79998168889431442"/>
        <bgColor indexed="64"/>
      </patternFill>
    </fill>
    <fill>
      <patternFill patternType="solid">
        <fgColor theme="8" tint="-0.499984740745262"/>
        <bgColor indexed="64"/>
      </patternFill>
    </fill>
    <fill>
      <patternFill patternType="solid">
        <fgColor theme="9" tint="0.79998168889431442"/>
        <bgColor indexed="64"/>
      </patternFill>
    </fill>
    <fill>
      <patternFill patternType="solid">
        <fgColor theme="7" tint="0.59999389629810485"/>
        <bgColor indexed="64"/>
      </patternFill>
    </fill>
    <fill>
      <patternFill patternType="solid">
        <fgColor theme="7" tint="0.7999816888943144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37">
    <xf numFmtId="0" fontId="0" fillId="0" borderId="0" xfId="0"/>
    <xf numFmtId="14" fontId="0" fillId="0" borderId="0" xfId="0" applyNumberFormat="1"/>
    <xf numFmtId="0" fontId="3" fillId="0" borderId="0" xfId="0" applyFont="1" applyAlignment="1">
      <alignment horizontal="left" vertical="center" indent="5"/>
    </xf>
    <xf numFmtId="0" fontId="4" fillId="0" borderId="0" xfId="0" applyFont="1" applyAlignment="1">
      <alignment horizontal="left" vertical="center" indent="5"/>
    </xf>
    <xf numFmtId="0" fontId="4" fillId="0" borderId="0" xfId="0" applyFont="1" applyAlignment="1">
      <alignment vertical="center"/>
    </xf>
    <xf numFmtId="0" fontId="3" fillId="2" borderId="0" xfId="0" applyFont="1" applyFill="1" applyAlignment="1">
      <alignment horizontal="left" vertical="center" indent="5"/>
    </xf>
    <xf numFmtId="0" fontId="0" fillId="2" borderId="0" xfId="0" applyFill="1"/>
    <xf numFmtId="0" fontId="0" fillId="0" borderId="0" xfId="0" applyAlignment="1">
      <alignment horizontal="center"/>
    </xf>
    <xf numFmtId="0" fontId="0" fillId="0" borderId="0" xfId="0" applyAlignment="1">
      <alignment wrapText="1"/>
    </xf>
    <xf numFmtId="0" fontId="6" fillId="0" borderId="0" xfId="0" applyFont="1" applyAlignment="1">
      <alignment vertical="center"/>
    </xf>
    <xf numFmtId="0" fontId="5" fillId="0" borderId="0" xfId="0" applyFont="1" applyAlignment="1">
      <alignment vertical="center"/>
    </xf>
    <xf numFmtId="0" fontId="7" fillId="0" borderId="0" xfId="0" applyFont="1" applyAlignment="1">
      <alignment horizontal="left" vertical="center" indent="1"/>
    </xf>
    <xf numFmtId="0" fontId="2" fillId="3" borderId="0" xfId="0" applyFont="1" applyFill="1"/>
    <xf numFmtId="0" fontId="1" fillId="5" borderId="1" xfId="0" applyFont="1" applyFill="1" applyBorder="1" applyAlignment="1">
      <alignment horizontal="center"/>
    </xf>
    <xf numFmtId="0" fontId="1" fillId="5" borderId="1" xfId="0" applyFont="1" applyFill="1" applyBorder="1"/>
    <xf numFmtId="0" fontId="1" fillId="5" borderId="1" xfId="0" applyFont="1" applyFill="1" applyBorder="1" applyAlignment="1">
      <alignment horizontal="center" wrapText="1"/>
    </xf>
    <xf numFmtId="0" fontId="2" fillId="0" borderId="1" xfId="0" applyFont="1" applyBorder="1"/>
    <xf numFmtId="14" fontId="0" fillId="4" borderId="1" xfId="0" applyNumberFormat="1" applyFill="1" applyBorder="1" applyAlignment="1">
      <alignment horizontal="center"/>
    </xf>
    <xf numFmtId="0" fontId="0" fillId="4" borderId="1" xfId="0" applyFill="1" applyBorder="1"/>
    <xf numFmtId="0" fontId="0" fillId="4" borderId="1" xfId="0" applyFill="1" applyBorder="1" applyAlignment="1">
      <alignment wrapText="1"/>
    </xf>
    <xf numFmtId="0" fontId="0" fillId="0" borderId="1" xfId="0" applyBorder="1"/>
    <xf numFmtId="0" fontId="0" fillId="4" borderId="1" xfId="0" applyFill="1" applyBorder="1" applyAlignment="1">
      <alignment horizontal="center"/>
    </xf>
    <xf numFmtId="20" fontId="0" fillId="4" borderId="1" xfId="0" applyNumberFormat="1" applyFill="1" applyBorder="1"/>
    <xf numFmtId="0" fontId="8" fillId="4" borderId="1" xfId="0" applyFont="1" applyFill="1" applyBorder="1" applyAlignment="1">
      <alignment wrapText="1"/>
    </xf>
    <xf numFmtId="0" fontId="0" fillId="4" borderId="0" xfId="0" applyFill="1" applyAlignment="1">
      <alignment wrapText="1"/>
    </xf>
    <xf numFmtId="0" fontId="0" fillId="2" borderId="1" xfId="0" applyFill="1" applyBorder="1"/>
    <xf numFmtId="0" fontId="0" fillId="0" borderId="2" xfId="0" applyBorder="1"/>
    <xf numFmtId="14" fontId="0" fillId="6" borderId="1" xfId="0" applyNumberFormat="1" applyFill="1" applyBorder="1" applyAlignment="1">
      <alignment horizontal="center"/>
    </xf>
    <xf numFmtId="0" fontId="9" fillId="4" borderId="1" xfId="0" applyFont="1" applyFill="1" applyBorder="1" applyAlignment="1">
      <alignment wrapText="1"/>
    </xf>
    <xf numFmtId="0" fontId="9" fillId="4" borderId="0" xfId="0" applyFont="1" applyFill="1" applyAlignment="1">
      <alignment wrapText="1"/>
    </xf>
    <xf numFmtId="20" fontId="0" fillId="4" borderId="1" xfId="0" applyNumberFormat="1" applyFill="1" applyBorder="1" applyAlignment="1">
      <alignment horizontal="left"/>
    </xf>
    <xf numFmtId="0" fontId="0" fillId="7" borderId="1" xfId="0" applyFill="1" applyBorder="1"/>
    <xf numFmtId="0" fontId="0" fillId="2" borderId="1" xfId="0" applyFill="1" applyBorder="1" applyAlignment="1">
      <alignment wrapText="1"/>
    </xf>
    <xf numFmtId="14" fontId="0" fillId="8" borderId="1" xfId="0" applyNumberFormat="1" applyFill="1" applyBorder="1" applyAlignment="1">
      <alignment horizontal="center"/>
    </xf>
    <xf numFmtId="0" fontId="0" fillId="8" borderId="1" xfId="0" applyFill="1" applyBorder="1"/>
    <xf numFmtId="0" fontId="0" fillId="8" borderId="1" xfId="0" applyFill="1" applyBorder="1" applyAlignment="1">
      <alignment wrapText="1"/>
    </xf>
    <xf numFmtId="0" fontId="0" fillId="8" borderId="1" xfId="0" applyFill="1" applyBorder="1" applyAlignment="1">
      <alignment horizontal="center"/>
    </xf>
  </cellXfs>
  <cellStyles count="1">
    <cellStyle name="Normal" xfId="0" builtinId="0"/>
  </cellStyles>
  <dxfs count="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B10D35-2FAF-4D7C-B8AA-42382BBE5281}">
  <dimension ref="A1:E19"/>
  <sheetViews>
    <sheetView workbookViewId="0">
      <selection activeCell="A19" sqref="A19"/>
    </sheetView>
  </sheetViews>
  <sheetFormatPr defaultRowHeight="14.5" x14ac:dyDescent="0.35"/>
  <cols>
    <col min="1" max="1" width="119.6328125" bestFit="1" customWidth="1"/>
    <col min="2" max="2" width="45.6328125" customWidth="1"/>
    <col min="4" max="4" width="19.90625" customWidth="1"/>
  </cols>
  <sheetData>
    <row r="1" spans="1:5" ht="15.5" x14ac:dyDescent="0.35">
      <c r="A1" s="5" t="s">
        <v>0</v>
      </c>
      <c r="B1" s="6"/>
      <c r="C1" s="6"/>
      <c r="D1" s="6"/>
      <c r="E1" s="6"/>
    </row>
    <row r="2" spans="1:5" ht="16" x14ac:dyDescent="0.35">
      <c r="B2" s="1"/>
      <c r="E2" s="3"/>
    </row>
    <row r="3" spans="1:5" ht="15.5" x14ac:dyDescent="0.35">
      <c r="B3" s="1"/>
      <c r="E3" s="2"/>
    </row>
    <row r="4" spans="1:5" x14ac:dyDescent="0.35">
      <c r="A4" s="12" t="s">
        <v>1</v>
      </c>
      <c r="B4" s="1"/>
    </row>
    <row r="6" spans="1:5" ht="16" x14ac:dyDescent="0.35">
      <c r="A6" s="4"/>
    </row>
    <row r="7" spans="1:5" ht="15.5" x14ac:dyDescent="0.35">
      <c r="A7" s="9" t="s">
        <v>2</v>
      </c>
    </row>
    <row r="8" spans="1:5" ht="15.5" x14ac:dyDescent="0.35">
      <c r="A8" s="10"/>
    </row>
    <row r="9" spans="1:5" x14ac:dyDescent="0.35">
      <c r="A9" s="11" t="s">
        <v>3</v>
      </c>
    </row>
    <row r="10" spans="1:5" x14ac:dyDescent="0.35">
      <c r="A10" s="11" t="s">
        <v>4</v>
      </c>
    </row>
    <row r="11" spans="1:5" x14ac:dyDescent="0.35">
      <c r="A11" s="11" t="s">
        <v>90</v>
      </c>
    </row>
    <row r="12" spans="1:5" x14ac:dyDescent="0.35">
      <c r="A12" s="11" t="s">
        <v>5</v>
      </c>
    </row>
    <row r="13" spans="1:5" x14ac:dyDescent="0.35">
      <c r="A13" s="11" t="s">
        <v>6</v>
      </c>
    </row>
    <row r="16" spans="1:5" x14ac:dyDescent="0.35">
      <c r="A16" s="12" t="s">
        <v>7</v>
      </c>
    </row>
    <row r="18" spans="1:1" x14ac:dyDescent="0.35">
      <c r="A18" t="s">
        <v>8</v>
      </c>
    </row>
    <row r="19" spans="1:1" x14ac:dyDescent="0.35">
      <c r="A19" t="s">
        <v>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CE189-8219-45B0-A2A1-BD8D230F6664}">
  <sheetPr filterMode="1"/>
  <dimension ref="A1:J157"/>
  <sheetViews>
    <sheetView tabSelected="1" workbookViewId="0">
      <pane xSplit="1" ySplit="1" topLeftCell="B113" activePane="bottomRight" state="frozen"/>
      <selection pane="topRight" activeCell="B1" sqref="B1"/>
      <selection pane="bottomLeft" activeCell="A2" sqref="A2"/>
      <selection pane="bottomRight" activeCell="F132" sqref="F132"/>
    </sheetView>
  </sheetViews>
  <sheetFormatPr defaultRowHeight="14.5" x14ac:dyDescent="0.35"/>
  <cols>
    <col min="1" max="1" width="12.36328125" style="7" customWidth="1"/>
    <col min="2" max="2" width="15.453125" customWidth="1"/>
    <col min="3" max="3" width="27.6328125" customWidth="1"/>
    <col min="4" max="4" width="59" style="8" customWidth="1"/>
    <col min="5" max="5" width="31" customWidth="1"/>
    <col min="6" max="6" width="20.36328125" customWidth="1"/>
    <col min="7" max="7" width="15.08984375" customWidth="1"/>
    <col min="8" max="8" width="12.90625" customWidth="1"/>
    <col min="9" max="9" width="12" customWidth="1"/>
    <col min="10" max="10" width="25.36328125" customWidth="1"/>
  </cols>
  <sheetData>
    <row r="1" spans="1:9" x14ac:dyDescent="0.35">
      <c r="A1" s="13" t="s">
        <v>10</v>
      </c>
      <c r="B1" s="14" t="s">
        <v>11</v>
      </c>
      <c r="C1" s="13" t="s">
        <v>12</v>
      </c>
      <c r="D1" s="15" t="s">
        <v>13</v>
      </c>
      <c r="E1" s="14" t="s">
        <v>14</v>
      </c>
      <c r="F1" s="16" t="s">
        <v>15</v>
      </c>
      <c r="G1" s="16" t="s">
        <v>16</v>
      </c>
      <c r="H1" s="16" t="s">
        <v>17</v>
      </c>
      <c r="I1" s="16" t="s">
        <v>18</v>
      </c>
    </row>
    <row r="2" spans="1:9" hidden="1" x14ac:dyDescent="0.35">
      <c r="A2" s="17">
        <v>45839</v>
      </c>
      <c r="B2" s="18" t="s">
        <v>19</v>
      </c>
      <c r="C2" s="18" t="s">
        <v>20</v>
      </c>
      <c r="D2" s="19" t="s">
        <v>21</v>
      </c>
      <c r="E2" s="18" t="s">
        <v>22</v>
      </c>
      <c r="F2" s="20" t="s">
        <v>23</v>
      </c>
      <c r="G2" s="20" t="s">
        <v>24</v>
      </c>
      <c r="H2" s="20" t="s">
        <v>25</v>
      </c>
      <c r="I2" s="20" t="str">
        <f t="shared" ref="I2:I33" si="0">TEXT(A2,"mmm-yy")</f>
        <v>Jul-25</v>
      </c>
    </row>
    <row r="3" spans="1:9" hidden="1" x14ac:dyDescent="0.35">
      <c r="A3" s="17">
        <v>45840</v>
      </c>
      <c r="B3" s="18" t="s">
        <v>26</v>
      </c>
      <c r="C3" s="18" t="s">
        <v>27</v>
      </c>
      <c r="D3" s="19" t="s">
        <v>28</v>
      </c>
      <c r="E3" s="18" t="s">
        <v>22</v>
      </c>
      <c r="F3" s="20" t="s">
        <v>29</v>
      </c>
      <c r="G3" s="20" t="s">
        <v>24</v>
      </c>
      <c r="H3" s="20" t="s">
        <v>25</v>
      </c>
      <c r="I3" s="20" t="str">
        <f t="shared" si="0"/>
        <v>Jul-25</v>
      </c>
    </row>
    <row r="4" spans="1:9" hidden="1" x14ac:dyDescent="0.35">
      <c r="A4" s="17">
        <v>45841</v>
      </c>
      <c r="B4" s="18" t="s">
        <v>30</v>
      </c>
      <c r="C4" s="18" t="s">
        <v>31</v>
      </c>
      <c r="D4" s="19" t="s">
        <v>32</v>
      </c>
      <c r="E4" s="18" t="s">
        <v>22</v>
      </c>
      <c r="F4" s="20" t="s">
        <v>33</v>
      </c>
      <c r="G4" s="20" t="s">
        <v>24</v>
      </c>
      <c r="H4" s="20" t="s">
        <v>25</v>
      </c>
      <c r="I4" s="20" t="str">
        <f t="shared" si="0"/>
        <v>Jul-25</v>
      </c>
    </row>
    <row r="5" spans="1:9" ht="29" hidden="1" x14ac:dyDescent="0.35">
      <c r="A5" s="17">
        <v>45841</v>
      </c>
      <c r="B5" s="18" t="s">
        <v>34</v>
      </c>
      <c r="C5" s="18" t="s">
        <v>35</v>
      </c>
      <c r="D5" s="19" t="s">
        <v>36</v>
      </c>
      <c r="E5" s="18" t="s">
        <v>22</v>
      </c>
      <c r="F5" s="20" t="s">
        <v>37</v>
      </c>
      <c r="G5" s="20" t="s">
        <v>24</v>
      </c>
      <c r="H5" s="20" t="s">
        <v>38</v>
      </c>
      <c r="I5" s="20" t="str">
        <f t="shared" si="0"/>
        <v>Jul-25</v>
      </c>
    </row>
    <row r="6" spans="1:9" ht="29" hidden="1" x14ac:dyDescent="0.35">
      <c r="A6" s="17">
        <v>45847</v>
      </c>
      <c r="B6" s="18" t="s">
        <v>39</v>
      </c>
      <c r="C6" s="18" t="s">
        <v>40</v>
      </c>
      <c r="D6" s="19" t="s">
        <v>41</v>
      </c>
      <c r="E6" s="18" t="s">
        <v>22</v>
      </c>
      <c r="F6" s="20" t="s">
        <v>23</v>
      </c>
      <c r="G6" s="20" t="s">
        <v>24</v>
      </c>
      <c r="H6" s="20" t="s">
        <v>25</v>
      </c>
      <c r="I6" s="20" t="str">
        <f t="shared" si="0"/>
        <v>Jul-25</v>
      </c>
    </row>
    <row r="7" spans="1:9" ht="29" hidden="1" x14ac:dyDescent="0.35">
      <c r="A7" s="17">
        <v>45848</v>
      </c>
      <c r="B7" s="18" t="s">
        <v>42</v>
      </c>
      <c r="C7" s="18" t="s">
        <v>43</v>
      </c>
      <c r="D7" s="19" t="s">
        <v>44</v>
      </c>
      <c r="E7" s="18" t="s">
        <v>22</v>
      </c>
      <c r="F7" s="20" t="s">
        <v>45</v>
      </c>
      <c r="G7" s="20" t="s">
        <v>24</v>
      </c>
      <c r="H7" s="20" t="s">
        <v>38</v>
      </c>
      <c r="I7" s="20" t="str">
        <f t="shared" si="0"/>
        <v>Jul-25</v>
      </c>
    </row>
    <row r="8" spans="1:9" hidden="1" x14ac:dyDescent="0.35">
      <c r="A8" s="17">
        <v>45848</v>
      </c>
      <c r="B8" s="18" t="s">
        <v>46</v>
      </c>
      <c r="C8" s="18" t="s">
        <v>40</v>
      </c>
      <c r="D8" s="19" t="s">
        <v>47</v>
      </c>
      <c r="E8" s="18" t="s">
        <v>22</v>
      </c>
      <c r="F8" s="20" t="s">
        <v>33</v>
      </c>
      <c r="G8" s="20" t="s">
        <v>24</v>
      </c>
      <c r="H8" s="20" t="s">
        <v>38</v>
      </c>
      <c r="I8" s="20" t="str">
        <f t="shared" si="0"/>
        <v>Jul-25</v>
      </c>
    </row>
    <row r="9" spans="1:9" ht="29" hidden="1" x14ac:dyDescent="0.35">
      <c r="A9" s="17">
        <v>45850</v>
      </c>
      <c r="B9" s="18" t="s">
        <v>48</v>
      </c>
      <c r="C9" s="18" t="s">
        <v>43</v>
      </c>
      <c r="D9" s="19" t="s">
        <v>44</v>
      </c>
      <c r="E9" s="18" t="s">
        <v>22</v>
      </c>
      <c r="F9" s="20" t="s">
        <v>33</v>
      </c>
      <c r="G9" s="20" t="s">
        <v>24</v>
      </c>
      <c r="H9" s="20" t="s">
        <v>38</v>
      </c>
      <c r="I9" s="20" t="str">
        <f t="shared" si="0"/>
        <v>Jul-25</v>
      </c>
    </row>
    <row r="10" spans="1:9" hidden="1" x14ac:dyDescent="0.35">
      <c r="A10" s="17">
        <v>45855</v>
      </c>
      <c r="B10" s="18" t="s">
        <v>49</v>
      </c>
      <c r="C10" s="18" t="s">
        <v>50</v>
      </c>
      <c r="D10" s="29" t="s">
        <v>51</v>
      </c>
      <c r="E10" s="18" t="s">
        <v>22</v>
      </c>
      <c r="F10" s="20" t="s">
        <v>52</v>
      </c>
      <c r="G10" s="20" t="s">
        <v>53</v>
      </c>
      <c r="H10" s="20" t="s">
        <v>38</v>
      </c>
      <c r="I10" s="20" t="str">
        <f t="shared" si="0"/>
        <v>Jul-25</v>
      </c>
    </row>
    <row r="11" spans="1:9" ht="29" hidden="1" x14ac:dyDescent="0.35">
      <c r="A11" s="17">
        <v>45859</v>
      </c>
      <c r="B11" s="18" t="s">
        <v>54</v>
      </c>
      <c r="C11" s="18" t="s">
        <v>40</v>
      </c>
      <c r="D11" s="19" t="s">
        <v>55</v>
      </c>
      <c r="E11" s="18" t="s">
        <v>22</v>
      </c>
      <c r="F11" s="20" t="s">
        <v>23</v>
      </c>
      <c r="G11" s="20" t="s">
        <v>24</v>
      </c>
      <c r="H11" s="20" t="s">
        <v>25</v>
      </c>
      <c r="I11" s="20" t="str">
        <f t="shared" si="0"/>
        <v>Jul-25</v>
      </c>
    </row>
    <row r="12" spans="1:9" hidden="1" x14ac:dyDescent="0.35">
      <c r="A12" s="17">
        <v>45860</v>
      </c>
      <c r="B12" s="22" t="s">
        <v>34</v>
      </c>
      <c r="C12" s="18" t="s">
        <v>35</v>
      </c>
      <c r="D12" s="19" t="s">
        <v>56</v>
      </c>
      <c r="E12" s="18" t="s">
        <v>22</v>
      </c>
      <c r="F12" s="20" t="s">
        <v>23</v>
      </c>
      <c r="G12" s="20"/>
      <c r="H12" s="20" t="s">
        <v>25</v>
      </c>
      <c r="I12" s="20" t="str">
        <f t="shared" si="0"/>
        <v>Jul-25</v>
      </c>
    </row>
    <row r="13" spans="1:9" ht="29" hidden="1" x14ac:dyDescent="0.35">
      <c r="A13" s="17">
        <v>45861</v>
      </c>
      <c r="B13" s="18" t="s">
        <v>46</v>
      </c>
      <c r="C13" s="18" t="s">
        <v>40</v>
      </c>
      <c r="D13" s="19" t="s">
        <v>57</v>
      </c>
      <c r="E13" s="18" t="s">
        <v>22</v>
      </c>
      <c r="F13" s="20" t="s">
        <v>23</v>
      </c>
      <c r="G13" s="20" t="s">
        <v>24</v>
      </c>
      <c r="H13" s="20" t="s">
        <v>25</v>
      </c>
      <c r="I13" s="20" t="str">
        <f t="shared" si="0"/>
        <v>Jul-25</v>
      </c>
    </row>
    <row r="14" spans="1:9" ht="29" hidden="1" x14ac:dyDescent="0.35">
      <c r="A14" s="17">
        <v>45861</v>
      </c>
      <c r="B14" s="18" t="s">
        <v>59</v>
      </c>
      <c r="C14" s="18" t="s">
        <v>60</v>
      </c>
      <c r="D14" s="23" t="s">
        <v>61</v>
      </c>
      <c r="E14" s="19" t="s">
        <v>62</v>
      </c>
      <c r="F14" s="25" t="s">
        <v>67</v>
      </c>
      <c r="G14" s="20"/>
      <c r="H14" s="20" t="s">
        <v>38</v>
      </c>
      <c r="I14" s="20" t="str">
        <f t="shared" si="0"/>
        <v>Jul-25</v>
      </c>
    </row>
    <row r="15" spans="1:9" ht="29" hidden="1" x14ac:dyDescent="0.35">
      <c r="A15" s="17">
        <v>45862</v>
      </c>
      <c r="B15" s="22" t="s">
        <v>63</v>
      </c>
      <c r="C15" s="18" t="s">
        <v>43</v>
      </c>
      <c r="D15" s="19" t="s">
        <v>44</v>
      </c>
      <c r="E15" s="18" t="s">
        <v>22</v>
      </c>
      <c r="F15" s="20" t="s">
        <v>45</v>
      </c>
      <c r="G15" s="20" t="s">
        <v>24</v>
      </c>
      <c r="H15" s="20" t="s">
        <v>38</v>
      </c>
      <c r="I15" s="20" t="str">
        <f t="shared" si="0"/>
        <v>Jul-25</v>
      </c>
    </row>
    <row r="16" spans="1:9" ht="29" hidden="1" x14ac:dyDescent="0.35">
      <c r="A16" s="17">
        <v>45864</v>
      </c>
      <c r="B16" s="22" t="s">
        <v>64</v>
      </c>
      <c r="C16" s="18" t="s">
        <v>43</v>
      </c>
      <c r="D16" s="24" t="s">
        <v>44</v>
      </c>
      <c r="E16" s="18" t="s">
        <v>22</v>
      </c>
      <c r="F16" s="25" t="s">
        <v>67</v>
      </c>
      <c r="G16" s="20" t="s">
        <v>24</v>
      </c>
      <c r="H16" s="20" t="s">
        <v>38</v>
      </c>
      <c r="I16" s="20" t="str">
        <f t="shared" si="0"/>
        <v>Jul-25</v>
      </c>
    </row>
    <row r="17" spans="1:10" ht="43.5" hidden="1" x14ac:dyDescent="0.35">
      <c r="A17" s="17">
        <v>45867</v>
      </c>
      <c r="B17" s="22" t="s">
        <v>69</v>
      </c>
      <c r="C17" s="18" t="s">
        <v>71</v>
      </c>
      <c r="D17" s="19" t="s">
        <v>70</v>
      </c>
      <c r="E17" s="18" t="s">
        <v>22</v>
      </c>
      <c r="F17" s="25" t="s">
        <v>67</v>
      </c>
      <c r="G17" s="20" t="s">
        <v>24</v>
      </c>
      <c r="H17" s="20" t="s">
        <v>38</v>
      </c>
      <c r="I17" s="20" t="str">
        <f t="shared" si="0"/>
        <v>Jul-25</v>
      </c>
    </row>
    <row r="18" spans="1:10" ht="75" hidden="1" customHeight="1" x14ac:dyDescent="0.35">
      <c r="A18" s="17">
        <v>45868</v>
      </c>
      <c r="B18" s="18" t="s">
        <v>46</v>
      </c>
      <c r="C18" s="18" t="s">
        <v>40</v>
      </c>
      <c r="D18" s="19" t="s">
        <v>57</v>
      </c>
      <c r="E18" s="18" t="s">
        <v>22</v>
      </c>
      <c r="F18" s="20" t="s">
        <v>23</v>
      </c>
      <c r="G18" s="20" t="s">
        <v>24</v>
      </c>
      <c r="H18" s="20" t="s">
        <v>25</v>
      </c>
      <c r="I18" s="20" t="str">
        <f t="shared" si="0"/>
        <v>Jul-25</v>
      </c>
    </row>
    <row r="19" spans="1:10" ht="75" hidden="1" customHeight="1" x14ac:dyDescent="0.35">
      <c r="A19" s="17">
        <v>45868</v>
      </c>
      <c r="B19" s="22" t="s">
        <v>68</v>
      </c>
      <c r="C19" s="18" t="s">
        <v>31</v>
      </c>
      <c r="D19" s="29" t="s">
        <v>51</v>
      </c>
      <c r="E19" s="18" t="s">
        <v>22</v>
      </c>
      <c r="F19" s="20" t="s">
        <v>37</v>
      </c>
      <c r="G19" s="20" t="s">
        <v>24</v>
      </c>
      <c r="H19" s="20" t="s">
        <v>25</v>
      </c>
      <c r="I19" s="20" t="str">
        <f t="shared" si="0"/>
        <v>Jul-25</v>
      </c>
      <c r="J19" s="26" t="s">
        <v>77</v>
      </c>
    </row>
    <row r="20" spans="1:10" hidden="1" x14ac:dyDescent="0.35">
      <c r="A20" s="17">
        <v>45873</v>
      </c>
      <c r="B20" s="18" t="s">
        <v>58</v>
      </c>
      <c r="C20" s="18" t="s">
        <v>35</v>
      </c>
      <c r="D20" s="19" t="s">
        <v>65</v>
      </c>
      <c r="E20" s="18" t="s">
        <v>22</v>
      </c>
      <c r="F20" s="20" t="s">
        <v>73</v>
      </c>
      <c r="G20" s="20" t="s">
        <v>24</v>
      </c>
      <c r="H20" s="20" t="s">
        <v>25</v>
      </c>
      <c r="I20" s="20" t="str">
        <f t="shared" si="0"/>
        <v>Aug-25</v>
      </c>
    </row>
    <row r="21" spans="1:10" hidden="1" x14ac:dyDescent="0.35">
      <c r="A21" s="17">
        <v>45873</v>
      </c>
      <c r="B21" s="18" t="s">
        <v>81</v>
      </c>
      <c r="C21" s="18" t="s">
        <v>84</v>
      </c>
      <c r="D21" s="19" t="s">
        <v>83</v>
      </c>
      <c r="E21" s="18" t="s">
        <v>22</v>
      </c>
      <c r="F21" s="20" t="s">
        <v>82</v>
      </c>
      <c r="G21" s="20" t="s">
        <v>24</v>
      </c>
      <c r="H21" s="20" t="s">
        <v>25</v>
      </c>
      <c r="I21" s="20" t="str">
        <f t="shared" si="0"/>
        <v>Aug-25</v>
      </c>
    </row>
    <row r="22" spans="1:10" hidden="1" x14ac:dyDescent="0.35">
      <c r="A22" s="17">
        <v>45874</v>
      </c>
      <c r="B22" s="18" t="s">
        <v>75</v>
      </c>
      <c r="C22" s="18" t="s">
        <v>74</v>
      </c>
      <c r="D22" s="19" t="s">
        <v>76</v>
      </c>
      <c r="E22" s="18" t="s">
        <v>22</v>
      </c>
      <c r="F22" s="20" t="s">
        <v>78</v>
      </c>
      <c r="G22" s="20" t="s">
        <v>24</v>
      </c>
      <c r="H22" s="20" t="s">
        <v>25</v>
      </c>
      <c r="I22" s="20" t="str">
        <f t="shared" si="0"/>
        <v>Aug-25</v>
      </c>
    </row>
    <row r="23" spans="1:10" hidden="1" x14ac:dyDescent="0.35">
      <c r="A23" s="17">
        <v>45874</v>
      </c>
      <c r="B23" s="18" t="s">
        <v>46</v>
      </c>
      <c r="C23" s="18" t="s">
        <v>84</v>
      </c>
      <c r="D23" s="19" t="s">
        <v>88</v>
      </c>
      <c r="E23" s="18" t="s">
        <v>22</v>
      </c>
      <c r="F23" s="20" t="s">
        <v>89</v>
      </c>
      <c r="G23" s="20" t="s">
        <v>24</v>
      </c>
      <c r="H23" s="20" t="s">
        <v>25</v>
      </c>
      <c r="I23" s="20" t="str">
        <f t="shared" si="0"/>
        <v>Aug-25</v>
      </c>
    </row>
    <row r="24" spans="1:10" ht="29" hidden="1" x14ac:dyDescent="0.35">
      <c r="A24" s="17">
        <v>45876</v>
      </c>
      <c r="B24" s="22" t="s">
        <v>63</v>
      </c>
      <c r="C24" s="18" t="s">
        <v>43</v>
      </c>
      <c r="D24" s="19" t="s">
        <v>44</v>
      </c>
      <c r="E24" s="18" t="s">
        <v>22</v>
      </c>
      <c r="F24" s="20" t="s">
        <v>45</v>
      </c>
      <c r="G24" s="20" t="s">
        <v>24</v>
      </c>
      <c r="H24" s="20" t="s">
        <v>38</v>
      </c>
      <c r="I24" s="20" t="str">
        <f t="shared" si="0"/>
        <v>Aug-25</v>
      </c>
    </row>
    <row r="25" spans="1:10" ht="29" hidden="1" x14ac:dyDescent="0.35">
      <c r="A25" s="17">
        <v>45878</v>
      </c>
      <c r="B25" s="22" t="s">
        <v>64</v>
      </c>
      <c r="C25" s="18" t="s">
        <v>43</v>
      </c>
      <c r="D25" s="19" t="s">
        <v>44</v>
      </c>
      <c r="E25" s="18" t="s">
        <v>22</v>
      </c>
      <c r="F25" s="20" t="s">
        <v>33</v>
      </c>
      <c r="G25" s="20" t="s">
        <v>24</v>
      </c>
      <c r="H25" s="20" t="s">
        <v>38</v>
      </c>
      <c r="I25" s="20" t="str">
        <f t="shared" si="0"/>
        <v>Aug-25</v>
      </c>
    </row>
    <row r="26" spans="1:10" hidden="1" x14ac:dyDescent="0.35">
      <c r="A26" s="17">
        <v>45882</v>
      </c>
      <c r="B26" s="18" t="s">
        <v>81</v>
      </c>
      <c r="C26" s="18" t="s">
        <v>93</v>
      </c>
      <c r="D26" s="19" t="s">
        <v>94</v>
      </c>
      <c r="E26" s="18" t="s">
        <v>95</v>
      </c>
      <c r="F26" s="20" t="s">
        <v>33</v>
      </c>
      <c r="G26" s="20" t="s">
        <v>24</v>
      </c>
      <c r="H26" s="20" t="s">
        <v>25</v>
      </c>
      <c r="I26" s="20" t="str">
        <f t="shared" si="0"/>
        <v>Aug-25</v>
      </c>
    </row>
    <row r="27" spans="1:10" hidden="1" x14ac:dyDescent="0.35">
      <c r="A27" s="17">
        <v>45883</v>
      </c>
      <c r="B27" s="18" t="s">
        <v>99</v>
      </c>
      <c r="C27" s="18" t="s">
        <v>100</v>
      </c>
      <c r="D27" s="19" t="s">
        <v>101</v>
      </c>
      <c r="E27" s="18" t="s">
        <v>22</v>
      </c>
      <c r="F27" s="20" t="s">
        <v>73</v>
      </c>
      <c r="G27" s="20" t="s">
        <v>24</v>
      </c>
      <c r="H27" s="20" t="s">
        <v>38</v>
      </c>
      <c r="I27" s="20" t="str">
        <f t="shared" si="0"/>
        <v>Aug-25</v>
      </c>
    </row>
    <row r="28" spans="1:10" hidden="1" x14ac:dyDescent="0.35">
      <c r="A28" s="17">
        <v>45887</v>
      </c>
      <c r="B28" s="18" t="s">
        <v>102</v>
      </c>
      <c r="C28" s="18" t="s">
        <v>100</v>
      </c>
      <c r="D28" s="19" t="s">
        <v>103</v>
      </c>
      <c r="E28" s="18" t="s">
        <v>22</v>
      </c>
      <c r="F28" s="26" t="s">
        <v>73</v>
      </c>
      <c r="G28" s="20" t="s">
        <v>24</v>
      </c>
      <c r="H28" s="20" t="s">
        <v>38</v>
      </c>
      <c r="I28" s="20" t="str">
        <f t="shared" si="0"/>
        <v>Aug-25</v>
      </c>
      <c r="J28" s="26"/>
    </row>
    <row r="29" spans="1:10" ht="87" hidden="1" x14ac:dyDescent="0.35">
      <c r="A29" s="17">
        <v>45889</v>
      </c>
      <c r="B29" s="18" t="s">
        <v>72</v>
      </c>
      <c r="C29" s="18" t="s">
        <v>92</v>
      </c>
      <c r="D29" s="19" t="s">
        <v>91</v>
      </c>
      <c r="E29" s="18" t="s">
        <v>22</v>
      </c>
      <c r="F29" s="20" t="s">
        <v>23</v>
      </c>
      <c r="G29" s="20" t="s">
        <v>24</v>
      </c>
      <c r="H29" s="20" t="s">
        <v>25</v>
      </c>
      <c r="I29" s="20" t="str">
        <f t="shared" si="0"/>
        <v>Aug-25</v>
      </c>
    </row>
    <row r="30" spans="1:10" ht="87" hidden="1" x14ac:dyDescent="0.35">
      <c r="A30" s="17">
        <v>45891</v>
      </c>
      <c r="B30" s="18" t="s">
        <v>106</v>
      </c>
      <c r="C30" s="18" t="s">
        <v>105</v>
      </c>
      <c r="D30" s="19" t="s">
        <v>104</v>
      </c>
      <c r="E30" s="18" t="s">
        <v>22</v>
      </c>
      <c r="F30" s="20" t="s">
        <v>109</v>
      </c>
      <c r="G30" s="20" t="s">
        <v>24</v>
      </c>
      <c r="H30" s="20" t="s">
        <v>38</v>
      </c>
      <c r="I30" s="20" t="str">
        <f t="shared" si="0"/>
        <v>Aug-25</v>
      </c>
    </row>
    <row r="31" spans="1:10" hidden="1" x14ac:dyDescent="0.35">
      <c r="A31" s="17">
        <v>45894</v>
      </c>
      <c r="B31" s="18" t="s">
        <v>42</v>
      </c>
      <c r="C31" s="18" t="s">
        <v>79</v>
      </c>
      <c r="D31" s="19" t="s">
        <v>80</v>
      </c>
      <c r="E31" s="25" t="s">
        <v>119</v>
      </c>
      <c r="F31" s="20" t="s">
        <v>73</v>
      </c>
      <c r="G31" s="20" t="s">
        <v>24</v>
      </c>
      <c r="H31" s="20" t="s">
        <v>38</v>
      </c>
      <c r="I31" s="20" t="str">
        <f t="shared" si="0"/>
        <v>Aug-25</v>
      </c>
      <c r="J31" s="26"/>
    </row>
    <row r="32" spans="1:10" hidden="1" x14ac:dyDescent="0.35">
      <c r="A32" s="17">
        <v>45894</v>
      </c>
      <c r="B32" s="18" t="s">
        <v>49</v>
      </c>
      <c r="C32" s="18" t="s">
        <v>117</v>
      </c>
      <c r="D32" s="19" t="s">
        <v>118</v>
      </c>
      <c r="E32" s="18" t="s">
        <v>22</v>
      </c>
      <c r="F32" s="20" t="s">
        <v>73</v>
      </c>
      <c r="G32" s="20" t="s">
        <v>24</v>
      </c>
      <c r="H32" s="20" t="s">
        <v>38</v>
      </c>
      <c r="I32" s="20" t="str">
        <f t="shared" si="0"/>
        <v>Aug-25</v>
      </c>
    </row>
    <row r="33" spans="1:10" hidden="1" x14ac:dyDescent="0.35">
      <c r="A33" s="27">
        <v>45895</v>
      </c>
      <c r="B33" s="22" t="s">
        <v>113</v>
      </c>
      <c r="C33" s="18" t="s">
        <v>31</v>
      </c>
      <c r="D33" s="28" t="s">
        <v>51</v>
      </c>
      <c r="E33" s="18" t="s">
        <v>22</v>
      </c>
      <c r="F33" s="20" t="s">
        <v>33</v>
      </c>
      <c r="G33" s="20" t="s">
        <v>24</v>
      </c>
      <c r="H33" s="20" t="s">
        <v>25</v>
      </c>
      <c r="I33" s="20" t="str">
        <f t="shared" si="0"/>
        <v>Aug-25</v>
      </c>
      <c r="J33" s="26"/>
    </row>
    <row r="34" spans="1:10" hidden="1" x14ac:dyDescent="0.35">
      <c r="A34" s="27">
        <v>45896</v>
      </c>
      <c r="B34" s="22" t="s">
        <v>123</v>
      </c>
      <c r="C34" s="18" t="s">
        <v>124</v>
      </c>
      <c r="D34" s="28" t="s">
        <v>125</v>
      </c>
      <c r="E34" s="18" t="s">
        <v>22</v>
      </c>
      <c r="F34" s="20" t="s">
        <v>109</v>
      </c>
      <c r="G34" s="20" t="s">
        <v>24</v>
      </c>
      <c r="H34" s="20" t="s">
        <v>38</v>
      </c>
      <c r="I34" s="20" t="str">
        <f t="shared" ref="I34:I65" si="1">TEXT(A34,"mmm-yy")</f>
        <v>Aug-25</v>
      </c>
      <c r="J34" t="s">
        <v>151</v>
      </c>
    </row>
    <row r="35" spans="1:10" hidden="1" x14ac:dyDescent="0.35">
      <c r="A35" s="27">
        <v>45897</v>
      </c>
      <c r="B35" s="22" t="s">
        <v>131</v>
      </c>
      <c r="C35" s="18" t="s">
        <v>127</v>
      </c>
      <c r="D35" s="28" t="s">
        <v>129</v>
      </c>
      <c r="E35" s="18" t="s">
        <v>22</v>
      </c>
      <c r="F35" s="20" t="s">
        <v>78</v>
      </c>
      <c r="G35" s="20" t="s">
        <v>24</v>
      </c>
      <c r="H35" s="20" t="s">
        <v>38</v>
      </c>
      <c r="I35" s="20" t="str">
        <f t="shared" si="1"/>
        <v>Aug-25</v>
      </c>
    </row>
    <row r="36" spans="1:10" hidden="1" x14ac:dyDescent="0.35">
      <c r="A36" s="27">
        <v>45897</v>
      </c>
      <c r="B36" s="22" t="s">
        <v>126</v>
      </c>
      <c r="C36" s="18" t="s">
        <v>128</v>
      </c>
      <c r="D36" s="28" t="s">
        <v>51</v>
      </c>
      <c r="E36" s="18" t="s">
        <v>22</v>
      </c>
      <c r="F36" s="20" t="s">
        <v>73</v>
      </c>
      <c r="G36" s="20" t="s">
        <v>24</v>
      </c>
      <c r="H36" s="20" t="s">
        <v>38</v>
      </c>
      <c r="I36" s="20" t="str">
        <f t="shared" si="1"/>
        <v>Aug-25</v>
      </c>
    </row>
    <row r="37" spans="1:10" ht="29" hidden="1" x14ac:dyDescent="0.35">
      <c r="A37" s="27">
        <v>45897</v>
      </c>
      <c r="B37" s="22" t="s">
        <v>132</v>
      </c>
      <c r="C37" s="18" t="s">
        <v>130</v>
      </c>
      <c r="D37" s="28" t="s">
        <v>134</v>
      </c>
      <c r="E37" s="18" t="s">
        <v>22</v>
      </c>
      <c r="F37" s="20" t="s">
        <v>137</v>
      </c>
      <c r="G37" s="20" t="s">
        <v>24</v>
      </c>
      <c r="H37" s="20" t="s">
        <v>38</v>
      </c>
      <c r="I37" s="20" t="str">
        <f t="shared" si="1"/>
        <v>Aug-25</v>
      </c>
    </row>
    <row r="38" spans="1:10" ht="43.5" hidden="1" x14ac:dyDescent="0.35">
      <c r="A38" s="27">
        <v>45897</v>
      </c>
      <c r="B38" s="22" t="s">
        <v>132</v>
      </c>
      <c r="C38" s="18" t="s">
        <v>133</v>
      </c>
      <c r="D38" s="28" t="s">
        <v>136</v>
      </c>
      <c r="E38" s="18" t="s">
        <v>22</v>
      </c>
      <c r="F38" s="20" t="s">
        <v>138</v>
      </c>
      <c r="G38" s="20" t="s">
        <v>24</v>
      </c>
      <c r="H38" s="20" t="s">
        <v>38</v>
      </c>
      <c r="I38" s="20" t="str">
        <f t="shared" si="1"/>
        <v>Aug-25</v>
      </c>
    </row>
    <row r="39" spans="1:10" hidden="1" x14ac:dyDescent="0.35">
      <c r="A39" s="27">
        <v>45897</v>
      </c>
      <c r="B39" s="22" t="s">
        <v>146</v>
      </c>
      <c r="C39" s="18" t="s">
        <v>142</v>
      </c>
      <c r="D39" s="28" t="s">
        <v>147</v>
      </c>
      <c r="E39" s="18" t="s">
        <v>22</v>
      </c>
      <c r="F39" s="20" t="s">
        <v>73</v>
      </c>
      <c r="G39" s="20" t="s">
        <v>24</v>
      </c>
      <c r="H39" s="20" t="s">
        <v>38</v>
      </c>
      <c r="I39" s="20" t="str">
        <f t="shared" si="1"/>
        <v>Aug-25</v>
      </c>
    </row>
    <row r="40" spans="1:10" hidden="1" x14ac:dyDescent="0.35">
      <c r="A40" s="27">
        <v>45897</v>
      </c>
      <c r="B40" s="22" t="s">
        <v>145</v>
      </c>
      <c r="C40" s="18" t="s">
        <v>143</v>
      </c>
      <c r="D40" s="28" t="s">
        <v>147</v>
      </c>
      <c r="E40" s="18" t="s">
        <v>22</v>
      </c>
      <c r="F40" s="20" t="s">
        <v>73</v>
      </c>
      <c r="G40" s="20" t="s">
        <v>24</v>
      </c>
      <c r="H40" s="20" t="s">
        <v>38</v>
      </c>
      <c r="I40" s="20" t="str">
        <f t="shared" si="1"/>
        <v>Aug-25</v>
      </c>
    </row>
    <row r="41" spans="1:10" hidden="1" x14ac:dyDescent="0.35">
      <c r="A41" s="27">
        <v>45897</v>
      </c>
      <c r="B41" s="22" t="s">
        <v>148</v>
      </c>
      <c r="C41" s="18" t="s">
        <v>144</v>
      </c>
      <c r="D41" s="28" t="s">
        <v>149</v>
      </c>
      <c r="E41" s="18" t="s">
        <v>22</v>
      </c>
      <c r="F41" s="20" t="s">
        <v>150</v>
      </c>
      <c r="G41" s="20" t="s">
        <v>24</v>
      </c>
      <c r="H41" s="20" t="s">
        <v>38</v>
      </c>
      <c r="I41" s="20" t="str">
        <f t="shared" si="1"/>
        <v>Aug-25</v>
      </c>
    </row>
    <row r="42" spans="1:10" ht="29" hidden="1" x14ac:dyDescent="0.35">
      <c r="A42" s="27">
        <v>45898</v>
      </c>
      <c r="B42" s="22" t="s">
        <v>121</v>
      </c>
      <c r="C42" s="18" t="s">
        <v>122</v>
      </c>
      <c r="D42" s="28" t="s">
        <v>135</v>
      </c>
      <c r="E42" s="18" t="s">
        <v>22</v>
      </c>
      <c r="F42" s="20" t="s">
        <v>23</v>
      </c>
      <c r="G42" s="20" t="s">
        <v>24</v>
      </c>
      <c r="H42" s="20" t="s">
        <v>25</v>
      </c>
      <c r="I42" s="20" t="str">
        <f t="shared" si="1"/>
        <v>Aug-25</v>
      </c>
    </row>
    <row r="43" spans="1:10" hidden="1" x14ac:dyDescent="0.35">
      <c r="A43" s="27">
        <v>45898</v>
      </c>
      <c r="B43" s="22" t="s">
        <v>155</v>
      </c>
      <c r="C43" s="18" t="s">
        <v>156</v>
      </c>
      <c r="D43" s="28" t="s">
        <v>159</v>
      </c>
      <c r="E43" s="18" t="s">
        <v>22</v>
      </c>
      <c r="F43" s="20" t="s">
        <v>160</v>
      </c>
      <c r="G43" s="20" t="s">
        <v>24</v>
      </c>
      <c r="H43" s="20" t="s">
        <v>38</v>
      </c>
      <c r="I43" s="20" t="str">
        <f t="shared" si="1"/>
        <v>Aug-25</v>
      </c>
    </row>
    <row r="44" spans="1:10" ht="29" hidden="1" x14ac:dyDescent="0.35">
      <c r="A44" s="27">
        <v>45902</v>
      </c>
      <c r="B44" s="22" t="s">
        <v>157</v>
      </c>
      <c r="C44" s="18" t="s">
        <v>158</v>
      </c>
      <c r="D44" s="28" t="s">
        <v>161</v>
      </c>
      <c r="E44" s="18" t="s">
        <v>22</v>
      </c>
      <c r="F44" s="20" t="s">
        <v>82</v>
      </c>
      <c r="G44" s="20" t="s">
        <v>24</v>
      </c>
      <c r="H44" s="20" t="s">
        <v>38</v>
      </c>
      <c r="I44" s="20" t="str">
        <f t="shared" si="1"/>
        <v>Sep-25</v>
      </c>
    </row>
    <row r="45" spans="1:10" ht="36.65" hidden="1" customHeight="1" x14ac:dyDescent="0.35">
      <c r="A45" s="27">
        <v>45902</v>
      </c>
      <c r="B45" s="18" t="s">
        <v>54</v>
      </c>
      <c r="C45" s="18" t="s">
        <v>111</v>
      </c>
      <c r="D45" s="19" t="s">
        <v>112</v>
      </c>
      <c r="E45" s="18" t="s">
        <v>22</v>
      </c>
      <c r="F45" s="20" t="s">
        <v>109</v>
      </c>
      <c r="G45" s="20" t="s">
        <v>24</v>
      </c>
      <c r="H45" s="20" t="s">
        <v>38</v>
      </c>
      <c r="I45" s="20" t="str">
        <f t="shared" si="1"/>
        <v>Sep-25</v>
      </c>
    </row>
    <row r="46" spans="1:10" ht="36.65" hidden="1" customHeight="1" x14ac:dyDescent="0.35">
      <c r="A46" s="27">
        <v>45902</v>
      </c>
      <c r="B46" s="18" t="s">
        <v>157</v>
      </c>
      <c r="C46" s="18" t="s">
        <v>165</v>
      </c>
      <c r="D46" s="19"/>
      <c r="E46" s="18" t="s">
        <v>22</v>
      </c>
      <c r="F46" s="20" t="s">
        <v>23</v>
      </c>
      <c r="G46" s="20" t="s">
        <v>24</v>
      </c>
      <c r="H46" s="20" t="s">
        <v>25</v>
      </c>
      <c r="I46" s="20" t="str">
        <f t="shared" si="1"/>
        <v>Sep-25</v>
      </c>
    </row>
    <row r="47" spans="1:10" ht="36.65" hidden="1" customHeight="1" x14ac:dyDescent="0.35">
      <c r="A47" s="27">
        <v>45903</v>
      </c>
      <c r="B47" s="18" t="s">
        <v>167</v>
      </c>
      <c r="C47" s="18" t="s">
        <v>166</v>
      </c>
      <c r="D47" s="19" t="s">
        <v>168</v>
      </c>
      <c r="E47" s="18" t="s">
        <v>22</v>
      </c>
      <c r="F47" s="20" t="s">
        <v>52</v>
      </c>
      <c r="G47" s="20" t="s">
        <v>108</v>
      </c>
      <c r="H47" s="20" t="s">
        <v>38</v>
      </c>
      <c r="I47" s="20" t="str">
        <f t="shared" si="1"/>
        <v>Sep-25</v>
      </c>
    </row>
    <row r="48" spans="1:10" ht="36.65" hidden="1" customHeight="1" x14ac:dyDescent="0.35">
      <c r="A48" s="27">
        <v>45904</v>
      </c>
      <c r="B48" s="18" t="s">
        <v>170</v>
      </c>
      <c r="C48" s="18" t="s">
        <v>127</v>
      </c>
      <c r="D48" s="19" t="s">
        <v>171</v>
      </c>
      <c r="E48" s="18"/>
      <c r="F48" s="20" t="s">
        <v>169</v>
      </c>
      <c r="G48" s="20" t="s">
        <v>24</v>
      </c>
      <c r="H48" s="20"/>
      <c r="I48" s="20" t="str">
        <f t="shared" si="1"/>
        <v>Sep-25</v>
      </c>
    </row>
    <row r="49" spans="1:10" ht="36.65" hidden="1" customHeight="1" x14ac:dyDescent="0.35">
      <c r="A49" s="27">
        <v>45904</v>
      </c>
      <c r="B49" s="18" t="s">
        <v>126</v>
      </c>
      <c r="C49" s="18" t="s">
        <v>165</v>
      </c>
      <c r="D49" s="19"/>
      <c r="E49" s="18" t="s">
        <v>22</v>
      </c>
      <c r="F49" s="20" t="s">
        <v>169</v>
      </c>
      <c r="G49" s="20" t="s">
        <v>24</v>
      </c>
      <c r="H49" s="20"/>
      <c r="I49" s="20" t="str">
        <f t="shared" si="1"/>
        <v>Sep-25</v>
      </c>
    </row>
    <row r="50" spans="1:10" ht="58" hidden="1" x14ac:dyDescent="0.35">
      <c r="A50" s="17">
        <v>45905</v>
      </c>
      <c r="B50" s="18" t="s">
        <v>139</v>
      </c>
      <c r="C50" s="18" t="s">
        <v>140</v>
      </c>
      <c r="D50" s="19" t="s">
        <v>141</v>
      </c>
      <c r="E50" s="25" t="s">
        <v>119</v>
      </c>
      <c r="F50" s="25" t="s">
        <v>119</v>
      </c>
      <c r="G50" s="20" t="s">
        <v>24</v>
      </c>
      <c r="H50" s="20" t="s">
        <v>38</v>
      </c>
      <c r="I50" s="20" t="str">
        <f t="shared" si="1"/>
        <v>Sep-25</v>
      </c>
    </row>
    <row r="51" spans="1:10" ht="29" hidden="1" x14ac:dyDescent="0.35">
      <c r="A51" s="17">
        <v>45905</v>
      </c>
      <c r="B51" s="18" t="s">
        <v>172</v>
      </c>
      <c r="C51" s="18" t="s">
        <v>174</v>
      </c>
      <c r="D51" s="19" t="s">
        <v>173</v>
      </c>
      <c r="E51" s="18" t="s">
        <v>22</v>
      </c>
      <c r="F51" s="20" t="s">
        <v>137</v>
      </c>
      <c r="G51" s="20" t="s">
        <v>24</v>
      </c>
      <c r="H51" s="20" t="s">
        <v>38</v>
      </c>
      <c r="I51" s="20" t="str">
        <f t="shared" si="1"/>
        <v>Sep-25</v>
      </c>
      <c r="J51" s="26"/>
    </row>
    <row r="52" spans="1:10" hidden="1" x14ac:dyDescent="0.35">
      <c r="A52" s="17">
        <v>45909</v>
      </c>
      <c r="B52" s="18" t="s">
        <v>189</v>
      </c>
      <c r="C52" s="18" t="s">
        <v>133</v>
      </c>
      <c r="D52" s="19" t="s">
        <v>193</v>
      </c>
      <c r="E52" s="18" t="s">
        <v>22</v>
      </c>
      <c r="F52" s="20" t="s">
        <v>169</v>
      </c>
      <c r="G52" s="20" t="s">
        <v>24</v>
      </c>
      <c r="H52" s="20" t="s">
        <v>38</v>
      </c>
      <c r="I52" s="20" t="str">
        <f t="shared" si="1"/>
        <v>Sep-25</v>
      </c>
    </row>
    <row r="53" spans="1:10" ht="29" hidden="1" x14ac:dyDescent="0.35">
      <c r="A53" s="17">
        <v>45909</v>
      </c>
      <c r="B53" s="18" t="s">
        <v>191</v>
      </c>
      <c r="C53" s="18" t="s">
        <v>190</v>
      </c>
      <c r="D53" s="19" t="s">
        <v>192</v>
      </c>
      <c r="E53" s="18" t="s">
        <v>22</v>
      </c>
      <c r="F53" s="20" t="s">
        <v>150</v>
      </c>
      <c r="G53" s="20" t="s">
        <v>24</v>
      </c>
      <c r="H53" s="20" t="s">
        <v>38</v>
      </c>
      <c r="I53" s="20" t="str">
        <f t="shared" si="1"/>
        <v>Sep-25</v>
      </c>
    </row>
    <row r="54" spans="1:10" ht="43.5" hidden="1" x14ac:dyDescent="0.35">
      <c r="A54" s="17">
        <v>45909</v>
      </c>
      <c r="B54" s="18" t="s">
        <v>98</v>
      </c>
      <c r="C54" s="18" t="s">
        <v>96</v>
      </c>
      <c r="D54" s="19" t="s">
        <v>97</v>
      </c>
      <c r="E54" s="18" t="s">
        <v>95</v>
      </c>
      <c r="F54" s="20" t="s">
        <v>45</v>
      </c>
      <c r="G54" s="20" t="s">
        <v>24</v>
      </c>
      <c r="H54" s="20" t="s">
        <v>38</v>
      </c>
      <c r="I54" s="20" t="str">
        <f t="shared" si="1"/>
        <v>Sep-25</v>
      </c>
    </row>
    <row r="55" spans="1:10" ht="29" hidden="1" x14ac:dyDescent="0.35">
      <c r="A55" s="17">
        <v>45909</v>
      </c>
      <c r="B55" s="18" t="s">
        <v>172</v>
      </c>
      <c r="C55" s="18" t="s">
        <v>174</v>
      </c>
      <c r="D55" s="19" t="s">
        <v>173</v>
      </c>
      <c r="E55" s="18" t="s">
        <v>22</v>
      </c>
      <c r="F55" s="20" t="s">
        <v>137</v>
      </c>
      <c r="G55" s="20" t="s">
        <v>24</v>
      </c>
      <c r="H55" s="20" t="s">
        <v>38</v>
      </c>
      <c r="I55" s="20" t="str">
        <f t="shared" si="1"/>
        <v>Sep-25</v>
      </c>
    </row>
    <row r="56" spans="1:10" ht="58" hidden="1" x14ac:dyDescent="0.35">
      <c r="A56" s="17">
        <v>45912</v>
      </c>
      <c r="B56" s="18" t="s">
        <v>152</v>
      </c>
      <c r="C56" s="18" t="s">
        <v>153</v>
      </c>
      <c r="D56" s="24" t="s">
        <v>154</v>
      </c>
      <c r="E56" s="18" t="s">
        <v>22</v>
      </c>
      <c r="F56" s="25" t="s">
        <v>67</v>
      </c>
      <c r="G56" s="20" t="s">
        <v>24</v>
      </c>
      <c r="H56" s="20" t="s">
        <v>38</v>
      </c>
      <c r="I56" s="20" t="str">
        <f t="shared" si="1"/>
        <v>Sep-25</v>
      </c>
    </row>
    <row r="57" spans="1:10" ht="29" hidden="1" x14ac:dyDescent="0.35">
      <c r="A57" s="17">
        <v>45912</v>
      </c>
      <c r="B57" s="18" t="s">
        <v>172</v>
      </c>
      <c r="C57" s="18" t="s">
        <v>174</v>
      </c>
      <c r="D57" s="19" t="s">
        <v>173</v>
      </c>
      <c r="E57" s="18" t="s">
        <v>22</v>
      </c>
      <c r="F57" s="20" t="s">
        <v>137</v>
      </c>
      <c r="G57" s="20" t="s">
        <v>24</v>
      </c>
      <c r="H57" s="20" t="s">
        <v>38</v>
      </c>
      <c r="I57" s="20" t="str">
        <f t="shared" si="1"/>
        <v>Sep-25</v>
      </c>
    </row>
    <row r="58" spans="1:10" ht="29" hidden="1" x14ac:dyDescent="0.35">
      <c r="A58" s="17">
        <v>45912</v>
      </c>
      <c r="B58" s="18" t="s">
        <v>202</v>
      </c>
      <c r="C58" s="18" t="s">
        <v>200</v>
      </c>
      <c r="D58" s="19" t="s">
        <v>201</v>
      </c>
      <c r="E58" s="18" t="s">
        <v>22</v>
      </c>
      <c r="F58" s="20" t="s">
        <v>78</v>
      </c>
      <c r="G58" s="20" t="s">
        <v>108</v>
      </c>
      <c r="H58" s="20" t="s">
        <v>25</v>
      </c>
      <c r="I58" s="20" t="str">
        <f t="shared" si="1"/>
        <v>Sep-25</v>
      </c>
    </row>
    <row r="59" spans="1:10" hidden="1" x14ac:dyDescent="0.35">
      <c r="A59" s="17">
        <v>45912</v>
      </c>
      <c r="B59" s="18" t="s">
        <v>203</v>
      </c>
      <c r="C59" s="18" t="s">
        <v>204</v>
      </c>
      <c r="D59" s="19" t="s">
        <v>205</v>
      </c>
      <c r="E59" s="18" t="s">
        <v>22</v>
      </c>
      <c r="F59" s="20" t="s">
        <v>169</v>
      </c>
      <c r="G59" s="20"/>
      <c r="H59" s="20" t="s">
        <v>38</v>
      </c>
      <c r="I59" s="20" t="str">
        <f t="shared" si="1"/>
        <v>Sep-25</v>
      </c>
    </row>
    <row r="60" spans="1:10" hidden="1" x14ac:dyDescent="0.35">
      <c r="A60" s="17">
        <v>45912</v>
      </c>
      <c r="B60" s="30">
        <v>0.45833333333333331</v>
      </c>
      <c r="C60" s="18" t="s">
        <v>206</v>
      </c>
      <c r="D60" s="19" t="s">
        <v>210</v>
      </c>
      <c r="E60" s="18" t="s">
        <v>22</v>
      </c>
      <c r="F60" s="20" t="s">
        <v>208</v>
      </c>
      <c r="G60" s="20"/>
      <c r="H60" s="20" t="s">
        <v>38</v>
      </c>
      <c r="I60" s="20" t="str">
        <f t="shared" si="1"/>
        <v>Sep-25</v>
      </c>
    </row>
    <row r="61" spans="1:10" hidden="1" x14ac:dyDescent="0.35">
      <c r="A61" s="17">
        <v>45912</v>
      </c>
      <c r="B61" s="18" t="s">
        <v>211</v>
      </c>
      <c r="C61" s="18" t="s">
        <v>207</v>
      </c>
      <c r="D61" s="19"/>
      <c r="E61" s="18" t="s">
        <v>22</v>
      </c>
      <c r="F61" s="20" t="s">
        <v>209</v>
      </c>
      <c r="G61" s="20"/>
      <c r="H61" s="20" t="s">
        <v>38</v>
      </c>
      <c r="I61" s="20" t="str">
        <f t="shared" si="1"/>
        <v>Sep-25</v>
      </c>
    </row>
    <row r="62" spans="1:10" ht="58" hidden="1" x14ac:dyDescent="0.35">
      <c r="A62" s="17">
        <v>45915</v>
      </c>
      <c r="B62" s="18" t="s">
        <v>195</v>
      </c>
      <c r="C62" s="18" t="s">
        <v>84</v>
      </c>
      <c r="D62" s="19" t="s">
        <v>194</v>
      </c>
      <c r="E62" s="18" t="s">
        <v>22</v>
      </c>
      <c r="F62" s="20" t="s">
        <v>33</v>
      </c>
      <c r="G62" s="20" t="s">
        <v>24</v>
      </c>
      <c r="H62" s="20" t="s">
        <v>25</v>
      </c>
      <c r="I62" s="20" t="str">
        <f t="shared" si="1"/>
        <v>Sep-25</v>
      </c>
    </row>
    <row r="63" spans="1:10" ht="29" hidden="1" x14ac:dyDescent="0.35">
      <c r="A63" s="17">
        <v>45916</v>
      </c>
      <c r="B63" s="18" t="s">
        <v>81</v>
      </c>
      <c r="C63" s="18" t="s">
        <v>84</v>
      </c>
      <c r="D63" s="19" t="s">
        <v>120</v>
      </c>
      <c r="E63" s="18" t="s">
        <v>22</v>
      </c>
      <c r="F63" s="20" t="s">
        <v>78</v>
      </c>
      <c r="G63" s="20" t="s">
        <v>24</v>
      </c>
      <c r="H63" s="20" t="s">
        <v>25</v>
      </c>
      <c r="I63" s="20" t="str">
        <f t="shared" si="1"/>
        <v>Sep-25</v>
      </c>
    </row>
    <row r="64" spans="1:10" ht="29" hidden="1" x14ac:dyDescent="0.35">
      <c r="A64" s="17">
        <v>45916</v>
      </c>
      <c r="B64" s="18" t="s">
        <v>172</v>
      </c>
      <c r="C64" s="18" t="s">
        <v>174</v>
      </c>
      <c r="D64" s="19" t="s">
        <v>173</v>
      </c>
      <c r="E64" s="18" t="s">
        <v>22</v>
      </c>
      <c r="F64" s="20" t="s">
        <v>137</v>
      </c>
      <c r="G64" s="20" t="s">
        <v>24</v>
      </c>
      <c r="H64" s="20" t="s">
        <v>38</v>
      </c>
      <c r="I64" s="20" t="str">
        <f t="shared" si="1"/>
        <v>Sep-25</v>
      </c>
    </row>
    <row r="65" spans="1:10" ht="29" hidden="1" x14ac:dyDescent="0.35">
      <c r="A65" s="17">
        <v>45917</v>
      </c>
      <c r="B65" s="18" t="s">
        <v>191</v>
      </c>
      <c r="C65" s="18" t="s">
        <v>218</v>
      </c>
      <c r="D65" s="19" t="s">
        <v>217</v>
      </c>
      <c r="E65" s="18" t="s">
        <v>22</v>
      </c>
      <c r="F65" s="20" t="s">
        <v>45</v>
      </c>
      <c r="G65" s="20" t="s">
        <v>24</v>
      </c>
      <c r="H65" s="20" t="s">
        <v>38</v>
      </c>
      <c r="I65" s="20" t="str">
        <f t="shared" si="1"/>
        <v>Sep-25</v>
      </c>
    </row>
    <row r="66" spans="1:10" hidden="1" x14ac:dyDescent="0.35">
      <c r="A66" s="17">
        <v>45917</v>
      </c>
      <c r="B66" s="18" t="s">
        <v>223</v>
      </c>
      <c r="C66" s="18" t="s">
        <v>175</v>
      </c>
      <c r="D66" s="19"/>
      <c r="E66" s="18" t="s">
        <v>22</v>
      </c>
      <c r="F66" s="20" t="s">
        <v>222</v>
      </c>
      <c r="G66" s="20" t="s">
        <v>24</v>
      </c>
      <c r="H66" s="20" t="s">
        <v>38</v>
      </c>
      <c r="I66" s="20" t="str">
        <f t="shared" ref="I66:I78" si="2">TEXT(A66,"mmm-yy")</f>
        <v>Sep-25</v>
      </c>
    </row>
    <row r="67" spans="1:10" hidden="1" x14ac:dyDescent="0.35">
      <c r="A67" s="17">
        <v>45917</v>
      </c>
      <c r="B67" s="18"/>
      <c r="C67" s="18" t="s">
        <v>111</v>
      </c>
      <c r="D67" s="19"/>
      <c r="E67" s="18" t="s">
        <v>22</v>
      </c>
      <c r="F67" s="20" t="s">
        <v>73</v>
      </c>
      <c r="G67" s="20" t="s">
        <v>24</v>
      </c>
      <c r="H67" s="20" t="s">
        <v>38</v>
      </c>
      <c r="I67" s="20" t="str">
        <f t="shared" si="2"/>
        <v>Sep-25</v>
      </c>
    </row>
    <row r="68" spans="1:10" hidden="1" x14ac:dyDescent="0.35">
      <c r="A68" s="17">
        <v>45917</v>
      </c>
      <c r="B68" s="18"/>
      <c r="C68" s="18" t="s">
        <v>219</v>
      </c>
      <c r="D68" s="19"/>
      <c r="E68" s="18" t="s">
        <v>22</v>
      </c>
      <c r="F68" s="20" t="s">
        <v>150</v>
      </c>
      <c r="G68" s="20" t="s">
        <v>24</v>
      </c>
      <c r="H68" s="20" t="s">
        <v>38</v>
      </c>
      <c r="I68" s="20" t="str">
        <f t="shared" si="2"/>
        <v>Sep-25</v>
      </c>
    </row>
    <row r="69" spans="1:10" hidden="1" x14ac:dyDescent="0.35">
      <c r="A69" s="17">
        <v>45917</v>
      </c>
      <c r="B69" s="18"/>
      <c r="C69" s="18" t="s">
        <v>183</v>
      </c>
      <c r="D69" s="19"/>
      <c r="E69" s="18" t="s">
        <v>22</v>
      </c>
      <c r="F69" s="20" t="s">
        <v>82</v>
      </c>
      <c r="G69" s="20" t="s">
        <v>24</v>
      </c>
      <c r="H69" s="20" t="s">
        <v>38</v>
      </c>
      <c r="I69" s="20" t="str">
        <f t="shared" si="2"/>
        <v>Sep-25</v>
      </c>
    </row>
    <row r="70" spans="1:10" hidden="1" x14ac:dyDescent="0.35">
      <c r="A70" s="17">
        <v>45918</v>
      </c>
      <c r="B70" s="18" t="s">
        <v>72</v>
      </c>
      <c r="C70" s="18" t="s">
        <v>35</v>
      </c>
      <c r="D70" s="19" t="s">
        <v>65</v>
      </c>
      <c r="E70" s="18" t="s">
        <v>22</v>
      </c>
      <c r="F70" s="20" t="s">
        <v>137</v>
      </c>
      <c r="G70" s="20" t="s">
        <v>24</v>
      </c>
      <c r="H70" s="20" t="s">
        <v>25</v>
      </c>
      <c r="I70" s="20" t="str">
        <f t="shared" si="2"/>
        <v>Sep-25</v>
      </c>
    </row>
    <row r="71" spans="1:10" ht="43.5" hidden="1" x14ac:dyDescent="0.35">
      <c r="A71" s="17">
        <v>45918</v>
      </c>
      <c r="B71" s="18" t="s">
        <v>214</v>
      </c>
      <c r="C71" s="18" t="s">
        <v>215</v>
      </c>
      <c r="D71" s="19" t="s">
        <v>216</v>
      </c>
      <c r="E71" s="18" t="s">
        <v>22</v>
      </c>
      <c r="F71" s="20" t="s">
        <v>150</v>
      </c>
      <c r="G71" s="20" t="s">
        <v>24</v>
      </c>
      <c r="H71" s="20" t="s">
        <v>38</v>
      </c>
      <c r="I71" s="20" t="str">
        <f t="shared" si="2"/>
        <v>Sep-25</v>
      </c>
    </row>
    <row r="72" spans="1:10" hidden="1" x14ac:dyDescent="0.35">
      <c r="A72" s="17">
        <v>45918</v>
      </c>
      <c r="B72" s="18" t="s">
        <v>220</v>
      </c>
      <c r="C72" s="18" t="s">
        <v>127</v>
      </c>
      <c r="D72" s="19" t="s">
        <v>171</v>
      </c>
      <c r="E72" s="18" t="s">
        <v>22</v>
      </c>
      <c r="F72" s="20" t="s">
        <v>78</v>
      </c>
      <c r="G72" s="20" t="s">
        <v>24</v>
      </c>
      <c r="H72" s="20" t="s">
        <v>38</v>
      </c>
      <c r="I72" s="20" t="str">
        <f t="shared" si="2"/>
        <v>Sep-25</v>
      </c>
    </row>
    <row r="73" spans="1:10" ht="43.5" hidden="1" x14ac:dyDescent="0.35">
      <c r="A73" s="17">
        <v>45919</v>
      </c>
      <c r="B73" s="18" t="s">
        <v>230</v>
      </c>
      <c r="C73" s="18" t="s">
        <v>127</v>
      </c>
      <c r="D73" s="19" t="s">
        <v>221</v>
      </c>
      <c r="E73" s="18" t="s">
        <v>22</v>
      </c>
      <c r="F73" s="20" t="s">
        <v>33</v>
      </c>
      <c r="G73" s="20" t="s">
        <v>24</v>
      </c>
      <c r="H73" s="20" t="s">
        <v>38</v>
      </c>
      <c r="I73" s="20" t="str">
        <f t="shared" si="2"/>
        <v>Sep-25</v>
      </c>
    </row>
    <row r="74" spans="1:10" ht="29" hidden="1" x14ac:dyDescent="0.35">
      <c r="A74" s="17">
        <v>45919</v>
      </c>
      <c r="B74" s="18" t="s">
        <v>85</v>
      </c>
      <c r="C74" s="18" t="s">
        <v>86</v>
      </c>
      <c r="D74" s="19" t="s">
        <v>87</v>
      </c>
      <c r="E74" s="18" t="s">
        <v>22</v>
      </c>
      <c r="F74" s="20" t="s">
        <v>169</v>
      </c>
      <c r="G74" s="20" t="s">
        <v>24</v>
      </c>
      <c r="H74" s="20" t="s">
        <v>25</v>
      </c>
      <c r="I74" s="20" t="str">
        <f t="shared" si="2"/>
        <v>Sep-25</v>
      </c>
    </row>
    <row r="75" spans="1:10" ht="29" hidden="1" x14ac:dyDescent="0.35">
      <c r="A75" s="17">
        <v>45919</v>
      </c>
      <c r="B75" s="18" t="s">
        <v>172</v>
      </c>
      <c r="C75" s="18" t="s">
        <v>174</v>
      </c>
      <c r="D75" s="19" t="s">
        <v>173</v>
      </c>
      <c r="E75" s="18" t="s">
        <v>22</v>
      </c>
      <c r="F75" s="20" t="s">
        <v>137</v>
      </c>
      <c r="G75" s="20" t="s">
        <v>24</v>
      </c>
      <c r="H75" s="20" t="s">
        <v>38</v>
      </c>
      <c r="I75" s="20" t="str">
        <f t="shared" si="2"/>
        <v>Sep-25</v>
      </c>
    </row>
    <row r="76" spans="1:10" ht="29" hidden="1" x14ac:dyDescent="0.35">
      <c r="A76" s="17">
        <v>45919</v>
      </c>
      <c r="B76" s="18" t="s">
        <v>228</v>
      </c>
      <c r="C76" s="18" t="s">
        <v>229</v>
      </c>
      <c r="D76" s="19" t="s">
        <v>227</v>
      </c>
      <c r="E76" s="18" t="s">
        <v>22</v>
      </c>
      <c r="F76" s="20" t="s">
        <v>150</v>
      </c>
      <c r="G76" s="20" t="s">
        <v>24</v>
      </c>
      <c r="H76" s="20" t="s">
        <v>38</v>
      </c>
      <c r="I76" s="20" t="str">
        <f t="shared" si="2"/>
        <v>Sep-25</v>
      </c>
    </row>
    <row r="77" spans="1:10" ht="29" hidden="1" x14ac:dyDescent="0.35">
      <c r="A77" s="17">
        <v>45922</v>
      </c>
      <c r="B77" s="18" t="s">
        <v>233</v>
      </c>
      <c r="C77" s="18" t="s">
        <v>31</v>
      </c>
      <c r="D77" s="19" t="s">
        <v>234</v>
      </c>
      <c r="E77" s="18" t="s">
        <v>22</v>
      </c>
      <c r="F77" s="20" t="s">
        <v>78</v>
      </c>
      <c r="G77" s="20" t="s">
        <v>108</v>
      </c>
      <c r="H77" s="20" t="s">
        <v>38</v>
      </c>
      <c r="I77" s="20" t="str">
        <f t="shared" si="2"/>
        <v>Sep-25</v>
      </c>
      <c r="J77" t="s">
        <v>241</v>
      </c>
    </row>
    <row r="78" spans="1:10" ht="43.5" hidden="1" x14ac:dyDescent="0.35">
      <c r="A78" s="17">
        <v>45922</v>
      </c>
      <c r="B78" s="18" t="s">
        <v>236</v>
      </c>
      <c r="C78" s="18" t="s">
        <v>183</v>
      </c>
      <c r="D78" s="19" t="s">
        <v>235</v>
      </c>
      <c r="E78" s="18" t="s">
        <v>22</v>
      </c>
      <c r="F78" s="20" t="s">
        <v>240</v>
      </c>
      <c r="G78" s="20" t="s">
        <v>24</v>
      </c>
      <c r="H78" s="20"/>
      <c r="I78" s="20" t="str">
        <f t="shared" si="2"/>
        <v>Sep-25</v>
      </c>
    </row>
    <row r="79" spans="1:10" hidden="1" x14ac:dyDescent="0.35">
      <c r="A79" s="17">
        <v>45923</v>
      </c>
      <c r="B79" s="18"/>
      <c r="C79" s="18" t="s">
        <v>50</v>
      </c>
      <c r="D79" s="19"/>
      <c r="E79" s="18" t="s">
        <v>22</v>
      </c>
      <c r="F79" s="20" t="s">
        <v>45</v>
      </c>
      <c r="G79" s="20" t="s">
        <v>24</v>
      </c>
      <c r="H79" s="20"/>
      <c r="I79" s="20"/>
    </row>
    <row r="80" spans="1:10" hidden="1" x14ac:dyDescent="0.35">
      <c r="A80" s="17">
        <v>45923</v>
      </c>
      <c r="B80" s="18"/>
      <c r="C80" s="18" t="s">
        <v>238</v>
      </c>
      <c r="D80" s="19"/>
      <c r="E80" s="18" t="s">
        <v>22</v>
      </c>
      <c r="F80" s="20" t="s">
        <v>160</v>
      </c>
      <c r="G80" s="20" t="s">
        <v>24</v>
      </c>
      <c r="H80" s="20"/>
      <c r="I80" s="20" t="str">
        <f t="shared" ref="I80:I94" si="3">TEXT(A80,"mmm-yy")</f>
        <v>Sep-25</v>
      </c>
    </row>
    <row r="81" spans="1:10" hidden="1" x14ac:dyDescent="0.35">
      <c r="A81" s="17">
        <v>45923</v>
      </c>
      <c r="B81" s="18" t="s">
        <v>225</v>
      </c>
      <c r="C81" s="18" t="s">
        <v>237</v>
      </c>
      <c r="D81" s="19" t="s">
        <v>239</v>
      </c>
      <c r="E81" s="18" t="s">
        <v>22</v>
      </c>
      <c r="F81" s="20" t="s">
        <v>169</v>
      </c>
      <c r="G81" s="20"/>
      <c r="H81" s="20"/>
      <c r="I81" s="20" t="str">
        <f t="shared" si="3"/>
        <v>Sep-25</v>
      </c>
      <c r="J81" t="s">
        <v>242</v>
      </c>
    </row>
    <row r="82" spans="1:10" ht="58" hidden="1" x14ac:dyDescent="0.35">
      <c r="A82" s="17">
        <v>45924</v>
      </c>
      <c r="B82" s="31" t="s">
        <v>248</v>
      </c>
      <c r="C82" s="18" t="s">
        <v>231</v>
      </c>
      <c r="D82" s="19" t="s">
        <v>232</v>
      </c>
      <c r="E82" s="18" t="s">
        <v>22</v>
      </c>
      <c r="F82" s="20" t="s">
        <v>78</v>
      </c>
      <c r="G82" s="20" t="s">
        <v>24</v>
      </c>
      <c r="H82" s="20" t="s">
        <v>25</v>
      </c>
      <c r="I82" s="20" t="str">
        <f t="shared" si="3"/>
        <v>Sep-25</v>
      </c>
    </row>
    <row r="83" spans="1:10" hidden="1" x14ac:dyDescent="0.35">
      <c r="A83" s="17">
        <v>45925</v>
      </c>
      <c r="B83" s="18" t="s">
        <v>54</v>
      </c>
      <c r="C83" s="18" t="s">
        <v>127</v>
      </c>
      <c r="D83" s="19" t="s">
        <v>129</v>
      </c>
      <c r="E83" s="18" t="s">
        <v>22</v>
      </c>
      <c r="F83" s="20" t="s">
        <v>78</v>
      </c>
      <c r="G83" s="20" t="s">
        <v>108</v>
      </c>
      <c r="H83" s="20" t="s">
        <v>38</v>
      </c>
      <c r="I83" s="20" t="str">
        <f t="shared" si="3"/>
        <v>Sep-25</v>
      </c>
    </row>
    <row r="84" spans="1:10" ht="29" hidden="1" x14ac:dyDescent="0.35">
      <c r="A84" s="17">
        <v>45925</v>
      </c>
      <c r="B84" s="18" t="s">
        <v>63</v>
      </c>
      <c r="C84" s="18" t="s">
        <v>74</v>
      </c>
      <c r="D84" s="19" t="s">
        <v>107</v>
      </c>
      <c r="E84" s="18" t="s">
        <v>22</v>
      </c>
      <c r="F84" s="20" t="s">
        <v>150</v>
      </c>
      <c r="G84" s="20" t="s">
        <v>24</v>
      </c>
      <c r="H84" s="20" t="s">
        <v>25</v>
      </c>
      <c r="I84" s="20" t="str">
        <f t="shared" si="3"/>
        <v>Sep-25</v>
      </c>
    </row>
    <row r="85" spans="1:10" ht="29" hidden="1" x14ac:dyDescent="0.35">
      <c r="A85" s="17">
        <v>45925</v>
      </c>
      <c r="B85" s="18" t="s">
        <v>225</v>
      </c>
      <c r="C85" s="18" t="s">
        <v>224</v>
      </c>
      <c r="D85" s="19" t="s">
        <v>226</v>
      </c>
      <c r="E85" s="18"/>
      <c r="F85" s="20" t="s">
        <v>78</v>
      </c>
      <c r="G85" s="20" t="s">
        <v>24</v>
      </c>
      <c r="H85" s="20"/>
      <c r="I85" s="20" t="str">
        <f t="shared" si="3"/>
        <v>Sep-25</v>
      </c>
    </row>
    <row r="86" spans="1:10" ht="43.5" hidden="1" x14ac:dyDescent="0.35">
      <c r="A86" s="17">
        <v>45925</v>
      </c>
      <c r="B86" s="18" t="s">
        <v>244</v>
      </c>
      <c r="C86" s="18" t="s">
        <v>50</v>
      </c>
      <c r="D86" s="19" t="s">
        <v>243</v>
      </c>
      <c r="E86" s="18" t="s">
        <v>22</v>
      </c>
      <c r="F86" s="20" t="s">
        <v>160</v>
      </c>
      <c r="G86" s="20" t="s">
        <v>108</v>
      </c>
      <c r="H86" s="20" t="s">
        <v>38</v>
      </c>
      <c r="I86" s="20" t="str">
        <f t="shared" si="3"/>
        <v>Sep-25</v>
      </c>
    </row>
    <row r="87" spans="1:10" ht="43.5" hidden="1" x14ac:dyDescent="0.35">
      <c r="A87" s="17">
        <v>45925</v>
      </c>
      <c r="B87" s="18" t="s">
        <v>247</v>
      </c>
      <c r="C87" s="18" t="s">
        <v>245</v>
      </c>
      <c r="D87" s="19" t="s">
        <v>246</v>
      </c>
      <c r="E87" s="18" t="s">
        <v>22</v>
      </c>
      <c r="F87" s="20" t="s">
        <v>66</v>
      </c>
      <c r="G87" s="20" t="s">
        <v>108</v>
      </c>
      <c r="H87" s="20" t="s">
        <v>38</v>
      </c>
      <c r="I87" s="20" t="str">
        <f t="shared" si="3"/>
        <v>Sep-25</v>
      </c>
    </row>
    <row r="88" spans="1:10" ht="43.5" hidden="1" x14ac:dyDescent="0.35">
      <c r="A88" s="17">
        <v>45930</v>
      </c>
      <c r="B88" s="18" t="s">
        <v>251</v>
      </c>
      <c r="C88" s="18" t="s">
        <v>252</v>
      </c>
      <c r="D88" s="19" t="s">
        <v>253</v>
      </c>
      <c r="E88" s="18" t="s">
        <v>22</v>
      </c>
      <c r="F88" s="20" t="s">
        <v>240</v>
      </c>
      <c r="G88" s="20" t="s">
        <v>24</v>
      </c>
      <c r="H88" s="20"/>
      <c r="I88" s="20" t="str">
        <f t="shared" si="3"/>
        <v>Sep-25</v>
      </c>
    </row>
    <row r="89" spans="1:10" ht="29" hidden="1" x14ac:dyDescent="0.35">
      <c r="A89" s="17">
        <v>45930</v>
      </c>
      <c r="B89" s="18" t="s">
        <v>255</v>
      </c>
      <c r="C89" s="18" t="s">
        <v>254</v>
      </c>
      <c r="D89" s="19" t="s">
        <v>256</v>
      </c>
      <c r="E89" s="18" t="s">
        <v>22</v>
      </c>
      <c r="F89" s="20" t="s">
        <v>269</v>
      </c>
      <c r="G89" s="20" t="s">
        <v>24</v>
      </c>
      <c r="H89" s="20"/>
      <c r="I89" s="20" t="str">
        <f t="shared" si="3"/>
        <v>Sep-25</v>
      </c>
    </row>
    <row r="90" spans="1:10" hidden="1" x14ac:dyDescent="0.35">
      <c r="A90" s="17">
        <v>45930</v>
      </c>
      <c r="B90" s="18" t="s">
        <v>259</v>
      </c>
      <c r="C90" s="18" t="s">
        <v>257</v>
      </c>
      <c r="D90" s="19" t="s">
        <v>258</v>
      </c>
      <c r="E90" s="18" t="s">
        <v>22</v>
      </c>
      <c r="F90" s="20" t="s">
        <v>267</v>
      </c>
      <c r="G90" s="20" t="s">
        <v>24</v>
      </c>
      <c r="H90" s="20"/>
      <c r="I90" s="20" t="str">
        <f t="shared" si="3"/>
        <v>Sep-25</v>
      </c>
    </row>
    <row r="91" spans="1:10" hidden="1" x14ac:dyDescent="0.35">
      <c r="A91" s="17">
        <v>45930</v>
      </c>
      <c r="B91" s="18" t="s">
        <v>261</v>
      </c>
      <c r="C91" s="18" t="s">
        <v>260</v>
      </c>
      <c r="D91" s="19" t="s">
        <v>262</v>
      </c>
      <c r="E91" s="18" t="s">
        <v>22</v>
      </c>
      <c r="F91" s="20" t="s">
        <v>268</v>
      </c>
      <c r="G91" s="20" t="s">
        <v>24</v>
      </c>
      <c r="H91" s="20"/>
      <c r="I91" s="20" t="str">
        <f t="shared" si="3"/>
        <v>Sep-25</v>
      </c>
    </row>
    <row r="92" spans="1:10" hidden="1" x14ac:dyDescent="0.35">
      <c r="A92" s="17">
        <v>45930</v>
      </c>
      <c r="B92" s="18" t="s">
        <v>34</v>
      </c>
      <c r="C92" s="18" t="s">
        <v>263</v>
      </c>
      <c r="D92" s="19" t="s">
        <v>264</v>
      </c>
      <c r="E92" s="18" t="s">
        <v>22</v>
      </c>
      <c r="F92" s="20" t="s">
        <v>222</v>
      </c>
      <c r="G92" s="20" t="s">
        <v>24</v>
      </c>
      <c r="H92" s="20"/>
      <c r="I92" s="20" t="str">
        <f t="shared" si="3"/>
        <v>Sep-25</v>
      </c>
    </row>
    <row r="93" spans="1:10" ht="29" hidden="1" x14ac:dyDescent="0.35">
      <c r="A93" s="17">
        <v>45930</v>
      </c>
      <c r="B93" s="18" t="s">
        <v>162</v>
      </c>
      <c r="C93" s="18" t="s">
        <v>218</v>
      </c>
      <c r="D93" s="19" t="s">
        <v>265</v>
      </c>
      <c r="E93" s="18" t="s">
        <v>22</v>
      </c>
      <c r="F93" s="20"/>
      <c r="G93" s="20" t="s">
        <v>24</v>
      </c>
      <c r="H93" s="20"/>
      <c r="I93" s="20" t="str">
        <f t="shared" si="3"/>
        <v>Sep-25</v>
      </c>
    </row>
    <row r="94" spans="1:10" ht="87" hidden="1" x14ac:dyDescent="0.35">
      <c r="A94" s="17">
        <v>45930</v>
      </c>
      <c r="B94" s="18" t="s">
        <v>162</v>
      </c>
      <c r="C94" s="18" t="s">
        <v>190</v>
      </c>
      <c r="D94" s="19" t="s">
        <v>266</v>
      </c>
      <c r="E94" s="18"/>
      <c r="F94" s="20" t="s">
        <v>278</v>
      </c>
      <c r="G94" s="20" t="s">
        <v>24</v>
      </c>
      <c r="H94" s="20"/>
      <c r="I94" s="20" t="str">
        <f t="shared" si="3"/>
        <v>Sep-25</v>
      </c>
    </row>
    <row r="95" spans="1:10" ht="29" x14ac:dyDescent="0.35">
      <c r="A95" s="17">
        <v>45931</v>
      </c>
      <c r="B95" s="18" t="s">
        <v>191</v>
      </c>
      <c r="C95" s="18" t="s">
        <v>270</v>
      </c>
      <c r="D95" s="19" t="s">
        <v>271</v>
      </c>
      <c r="E95" s="18" t="s">
        <v>22</v>
      </c>
      <c r="F95" s="20"/>
      <c r="G95" s="20" t="s">
        <v>24</v>
      </c>
      <c r="H95" s="20" t="s">
        <v>25</v>
      </c>
      <c r="I95" s="20" t="str">
        <f t="shared" ref="I95:I128" si="4">TEXT(A95,"mmm-yy")</f>
        <v>Oct-25</v>
      </c>
    </row>
    <row r="96" spans="1:10" x14ac:dyDescent="0.35">
      <c r="A96" s="17">
        <v>45932</v>
      </c>
      <c r="B96" s="18" t="s">
        <v>272</v>
      </c>
      <c r="C96" s="18" t="s">
        <v>273</v>
      </c>
      <c r="D96" s="19"/>
      <c r="E96" s="18"/>
      <c r="F96" s="20" t="s">
        <v>222</v>
      </c>
      <c r="G96" s="20"/>
      <c r="H96" s="20" t="s">
        <v>38</v>
      </c>
      <c r="I96" s="20" t="str">
        <f t="shared" si="4"/>
        <v>Oct-25</v>
      </c>
    </row>
    <row r="97" spans="1:9" x14ac:dyDescent="0.35">
      <c r="A97" s="17">
        <v>45932</v>
      </c>
      <c r="B97" s="18" t="s">
        <v>244</v>
      </c>
      <c r="C97" s="18" t="s">
        <v>165</v>
      </c>
      <c r="D97" s="19"/>
      <c r="E97" s="18"/>
      <c r="F97" s="20" t="s">
        <v>169</v>
      </c>
      <c r="G97" s="20"/>
      <c r="H97" s="20" t="s">
        <v>25</v>
      </c>
      <c r="I97" s="20" t="str">
        <f t="shared" si="4"/>
        <v>Oct-25</v>
      </c>
    </row>
    <row r="98" spans="1:9" x14ac:dyDescent="0.35">
      <c r="A98" s="17">
        <v>45933</v>
      </c>
      <c r="B98" s="18" t="s">
        <v>162</v>
      </c>
      <c r="C98" s="18" t="s">
        <v>163</v>
      </c>
      <c r="D98" s="19" t="s">
        <v>164</v>
      </c>
      <c r="E98" s="18" t="s">
        <v>22</v>
      </c>
      <c r="F98" s="20"/>
      <c r="G98" s="20" t="s">
        <v>24</v>
      </c>
      <c r="H98" s="20" t="s">
        <v>25</v>
      </c>
      <c r="I98" s="20" t="str">
        <f t="shared" si="4"/>
        <v>Oct-25</v>
      </c>
    </row>
    <row r="99" spans="1:9" x14ac:dyDescent="0.35">
      <c r="A99" s="17">
        <v>45933</v>
      </c>
      <c r="B99" s="18"/>
      <c r="C99" s="18" t="s">
        <v>274</v>
      </c>
      <c r="D99" s="19"/>
      <c r="E99" s="18" t="s">
        <v>22</v>
      </c>
      <c r="F99" s="20" t="s">
        <v>275</v>
      </c>
      <c r="G99" s="20"/>
      <c r="H99" s="20" t="s">
        <v>25</v>
      </c>
      <c r="I99" s="20" t="str">
        <f t="shared" si="4"/>
        <v>Oct-25</v>
      </c>
    </row>
    <row r="100" spans="1:9" ht="29" x14ac:dyDescent="0.35">
      <c r="A100" s="17">
        <v>45936</v>
      </c>
      <c r="B100" s="18" t="s">
        <v>249</v>
      </c>
      <c r="C100" s="18" t="s">
        <v>100</v>
      </c>
      <c r="D100" s="19" t="s">
        <v>250</v>
      </c>
      <c r="E100" s="18" t="s">
        <v>22</v>
      </c>
      <c r="F100" s="20" t="s">
        <v>286</v>
      </c>
      <c r="G100" s="20" t="s">
        <v>24</v>
      </c>
      <c r="H100" s="20" t="s">
        <v>38</v>
      </c>
      <c r="I100" s="20" t="str">
        <f t="shared" si="4"/>
        <v>Oct-25</v>
      </c>
    </row>
    <row r="101" spans="1:9" x14ac:dyDescent="0.35">
      <c r="A101" s="17">
        <v>45945</v>
      </c>
      <c r="B101" s="18" t="s">
        <v>46</v>
      </c>
      <c r="C101" s="18" t="s">
        <v>50</v>
      </c>
      <c r="D101" s="19" t="s">
        <v>288</v>
      </c>
      <c r="E101" s="18" t="s">
        <v>22</v>
      </c>
      <c r="F101" s="20" t="s">
        <v>240</v>
      </c>
      <c r="G101" s="20" t="s">
        <v>108</v>
      </c>
      <c r="H101" s="20" t="s">
        <v>38</v>
      </c>
      <c r="I101" s="20" t="str">
        <f t="shared" si="4"/>
        <v>Oct-25</v>
      </c>
    </row>
    <row r="102" spans="1:9" ht="29" x14ac:dyDescent="0.35">
      <c r="A102" s="17">
        <v>45945</v>
      </c>
      <c r="B102" s="18" t="s">
        <v>279</v>
      </c>
      <c r="C102" s="18" t="s">
        <v>282</v>
      </c>
      <c r="D102" s="19" t="s">
        <v>281</v>
      </c>
      <c r="E102" s="18" t="s">
        <v>22</v>
      </c>
      <c r="F102" s="20" t="s">
        <v>169</v>
      </c>
      <c r="G102" s="20" t="s">
        <v>283</v>
      </c>
      <c r="H102" s="20" t="s">
        <v>25</v>
      </c>
      <c r="I102" s="20" t="str">
        <f t="shared" si="4"/>
        <v>Oct-25</v>
      </c>
    </row>
    <row r="103" spans="1:9" ht="29" x14ac:dyDescent="0.35">
      <c r="A103" s="17">
        <v>45945</v>
      </c>
      <c r="B103" s="18" t="s">
        <v>72</v>
      </c>
      <c r="C103" s="18" t="s">
        <v>289</v>
      </c>
      <c r="D103" s="19" t="s">
        <v>290</v>
      </c>
      <c r="E103" s="18" t="s">
        <v>22</v>
      </c>
      <c r="F103" s="20" t="s">
        <v>160</v>
      </c>
      <c r="G103" s="20" t="s">
        <v>108</v>
      </c>
      <c r="H103" s="20" t="s">
        <v>38</v>
      </c>
      <c r="I103" s="20" t="str">
        <f t="shared" si="4"/>
        <v>Oct-25</v>
      </c>
    </row>
    <row r="104" spans="1:9" x14ac:dyDescent="0.35">
      <c r="A104" s="17">
        <v>45945</v>
      </c>
      <c r="B104" s="18"/>
      <c r="C104" s="18" t="s">
        <v>133</v>
      </c>
      <c r="D104" s="19"/>
      <c r="E104" s="18" t="s">
        <v>22</v>
      </c>
      <c r="F104" s="20"/>
      <c r="G104" s="20" t="s">
        <v>108</v>
      </c>
      <c r="H104" s="20" t="s">
        <v>38</v>
      </c>
      <c r="I104" s="20" t="str">
        <f t="shared" si="4"/>
        <v>Oct-25</v>
      </c>
    </row>
    <row r="105" spans="1:9" x14ac:dyDescent="0.35">
      <c r="A105" s="17">
        <v>45945</v>
      </c>
      <c r="B105" s="18"/>
      <c r="C105" s="18" t="s">
        <v>274</v>
      </c>
      <c r="D105" s="19"/>
      <c r="E105" s="18" t="s">
        <v>22</v>
      </c>
      <c r="F105" s="20" t="s">
        <v>160</v>
      </c>
      <c r="G105" s="20" t="s">
        <v>108</v>
      </c>
      <c r="H105" s="20" t="s">
        <v>38</v>
      </c>
      <c r="I105" s="20" t="str">
        <f t="shared" si="4"/>
        <v>Oct-25</v>
      </c>
    </row>
    <row r="106" spans="1:9" x14ac:dyDescent="0.35">
      <c r="A106" s="17">
        <v>45945</v>
      </c>
      <c r="B106" s="18"/>
      <c r="C106" s="18" t="s">
        <v>293</v>
      </c>
      <c r="D106" s="19"/>
      <c r="E106" s="18" t="s">
        <v>22</v>
      </c>
      <c r="F106" s="20" t="s">
        <v>222</v>
      </c>
      <c r="G106" s="20" t="s">
        <v>108</v>
      </c>
      <c r="H106" s="20" t="s">
        <v>38</v>
      </c>
      <c r="I106" s="20" t="str">
        <f t="shared" si="4"/>
        <v>Oct-25</v>
      </c>
    </row>
    <row r="107" spans="1:9" ht="29" x14ac:dyDescent="0.35">
      <c r="A107" s="17">
        <v>45950</v>
      </c>
      <c r="B107" s="18" t="s">
        <v>292</v>
      </c>
      <c r="C107" s="18" t="s">
        <v>291</v>
      </c>
      <c r="D107" s="19" t="s">
        <v>298</v>
      </c>
      <c r="E107" s="18" t="s">
        <v>22</v>
      </c>
      <c r="F107" s="20"/>
      <c r="G107" s="20" t="s">
        <v>108</v>
      </c>
      <c r="H107" s="20" t="s">
        <v>25</v>
      </c>
      <c r="I107" s="20" t="str">
        <f t="shared" si="4"/>
        <v>Oct-25</v>
      </c>
    </row>
    <row r="108" spans="1:9" ht="29" x14ac:dyDescent="0.35">
      <c r="A108" s="17">
        <v>45950</v>
      </c>
      <c r="B108" s="18" t="s">
        <v>255</v>
      </c>
      <c r="C108" s="18" t="s">
        <v>165</v>
      </c>
      <c r="D108" s="19" t="s">
        <v>294</v>
      </c>
      <c r="E108" s="18" t="s">
        <v>22</v>
      </c>
      <c r="F108" s="20"/>
      <c r="G108" s="20" t="s">
        <v>108</v>
      </c>
      <c r="H108" s="20" t="s">
        <v>25</v>
      </c>
      <c r="I108" s="20" t="str">
        <f t="shared" si="4"/>
        <v>Oct-25</v>
      </c>
    </row>
    <row r="109" spans="1:9" ht="43.5" x14ac:dyDescent="0.35">
      <c r="A109" s="17">
        <v>45952</v>
      </c>
      <c r="B109" s="18" t="s">
        <v>39</v>
      </c>
      <c r="C109" s="18" t="s">
        <v>277</v>
      </c>
      <c r="D109" s="19" t="s">
        <v>280</v>
      </c>
      <c r="E109" s="18" t="s">
        <v>22</v>
      </c>
      <c r="F109" s="20" t="s">
        <v>78</v>
      </c>
      <c r="G109" s="20" t="s">
        <v>108</v>
      </c>
      <c r="H109" s="20" t="s">
        <v>25</v>
      </c>
      <c r="I109" s="20" t="str">
        <f t="shared" si="4"/>
        <v>Oct-25</v>
      </c>
    </row>
    <row r="110" spans="1:9" ht="29" x14ac:dyDescent="0.35">
      <c r="A110" s="17">
        <v>45951</v>
      </c>
      <c r="B110" s="18" t="s">
        <v>72</v>
      </c>
      <c r="C110" s="18" t="s">
        <v>40</v>
      </c>
      <c r="D110" s="19" t="s">
        <v>296</v>
      </c>
      <c r="E110" s="18" t="s">
        <v>22</v>
      </c>
      <c r="F110" s="20" t="s">
        <v>78</v>
      </c>
      <c r="G110" s="20" t="s">
        <v>108</v>
      </c>
      <c r="H110" s="20" t="s">
        <v>25</v>
      </c>
      <c r="I110" s="20" t="str">
        <f t="shared" si="4"/>
        <v>Oct-25</v>
      </c>
    </row>
    <row r="111" spans="1:9" ht="29" x14ac:dyDescent="0.35">
      <c r="A111" s="17">
        <v>45953</v>
      </c>
      <c r="B111" s="18" t="s">
        <v>81</v>
      </c>
      <c r="C111" s="18" t="s">
        <v>285</v>
      </c>
      <c r="D111" s="19" t="s">
        <v>284</v>
      </c>
      <c r="E111" s="18" t="s">
        <v>22</v>
      </c>
      <c r="F111" s="20" t="s">
        <v>169</v>
      </c>
      <c r="G111" s="20" t="s">
        <v>287</v>
      </c>
      <c r="H111" s="20" t="s">
        <v>25</v>
      </c>
      <c r="I111" s="20" t="str">
        <f t="shared" si="4"/>
        <v>Oct-25</v>
      </c>
    </row>
    <row r="112" spans="1:9" ht="29" x14ac:dyDescent="0.35">
      <c r="A112" s="17">
        <v>45953</v>
      </c>
      <c r="B112" s="18" t="s">
        <v>255</v>
      </c>
      <c r="C112" s="25" t="s">
        <v>31</v>
      </c>
      <c r="D112" s="32" t="s">
        <v>297</v>
      </c>
      <c r="E112" s="18" t="s">
        <v>22</v>
      </c>
      <c r="F112" s="20" t="s">
        <v>78</v>
      </c>
      <c r="G112" s="20" t="s">
        <v>108</v>
      </c>
      <c r="H112" s="20" t="s">
        <v>25</v>
      </c>
      <c r="I112" s="20" t="str">
        <f t="shared" si="4"/>
        <v>Oct-25</v>
      </c>
    </row>
    <row r="113" spans="1:9" ht="29" x14ac:dyDescent="0.35">
      <c r="A113" s="17">
        <v>45953</v>
      </c>
      <c r="B113" s="18" t="s">
        <v>58</v>
      </c>
      <c r="C113" s="18" t="s">
        <v>299</v>
      </c>
      <c r="D113" s="19" t="s">
        <v>306</v>
      </c>
      <c r="E113" s="18" t="s">
        <v>22</v>
      </c>
      <c r="F113" s="20" t="s">
        <v>222</v>
      </c>
      <c r="G113" s="20" t="s">
        <v>24</v>
      </c>
      <c r="H113" s="20" t="s">
        <v>38</v>
      </c>
      <c r="I113" s="20" t="str">
        <f t="shared" si="4"/>
        <v>Oct-25</v>
      </c>
    </row>
    <row r="114" spans="1:9" ht="29" x14ac:dyDescent="0.35">
      <c r="A114" s="17">
        <v>45953</v>
      </c>
      <c r="B114" s="18" t="s">
        <v>304</v>
      </c>
      <c r="C114" s="18" t="s">
        <v>50</v>
      </c>
      <c r="D114" s="19" t="s">
        <v>305</v>
      </c>
      <c r="E114" s="18" t="s">
        <v>22</v>
      </c>
      <c r="F114" s="20" t="s">
        <v>150</v>
      </c>
      <c r="G114" s="20" t="s">
        <v>24</v>
      </c>
      <c r="H114" s="20"/>
      <c r="I114" s="20" t="str">
        <f t="shared" si="4"/>
        <v>Oct-25</v>
      </c>
    </row>
    <row r="115" spans="1:9" ht="29" x14ac:dyDescent="0.35">
      <c r="A115" s="17">
        <v>45953</v>
      </c>
      <c r="B115" s="18" t="s">
        <v>303</v>
      </c>
      <c r="C115" s="18" t="s">
        <v>300</v>
      </c>
      <c r="D115" s="19" t="s">
        <v>307</v>
      </c>
      <c r="E115" s="18" t="s">
        <v>22</v>
      </c>
      <c r="F115" s="20" t="s">
        <v>82</v>
      </c>
      <c r="G115" s="20" t="s">
        <v>24</v>
      </c>
      <c r="H115" s="20"/>
      <c r="I115" s="20" t="str">
        <f t="shared" si="4"/>
        <v>Oct-25</v>
      </c>
    </row>
    <row r="116" spans="1:9" ht="29" x14ac:dyDescent="0.35">
      <c r="A116" s="17">
        <v>45953</v>
      </c>
      <c r="B116" s="18" t="s">
        <v>310</v>
      </c>
      <c r="C116" s="18" t="s">
        <v>273</v>
      </c>
      <c r="D116" s="19" t="s">
        <v>308</v>
      </c>
      <c r="E116" s="18" t="s">
        <v>22</v>
      </c>
      <c r="F116" s="20" t="s">
        <v>52</v>
      </c>
      <c r="G116" s="20" t="s">
        <v>24</v>
      </c>
      <c r="H116" s="20"/>
      <c r="I116" s="20" t="str">
        <f t="shared" si="4"/>
        <v>Oct-25</v>
      </c>
    </row>
    <row r="117" spans="1:9" ht="29" x14ac:dyDescent="0.35">
      <c r="A117" s="17">
        <v>45953</v>
      </c>
      <c r="B117" s="18" t="s">
        <v>58</v>
      </c>
      <c r="C117" s="18" t="s">
        <v>301</v>
      </c>
      <c r="D117" s="19" t="s">
        <v>309</v>
      </c>
      <c r="E117" s="18" t="s">
        <v>22</v>
      </c>
      <c r="F117" s="20" t="s">
        <v>240</v>
      </c>
      <c r="G117" s="20" t="s">
        <v>24</v>
      </c>
      <c r="H117" s="20"/>
      <c r="I117" s="20" t="str">
        <f t="shared" si="4"/>
        <v>Oct-25</v>
      </c>
    </row>
    <row r="118" spans="1:9" ht="29" x14ac:dyDescent="0.35">
      <c r="A118" s="17">
        <v>45953</v>
      </c>
      <c r="B118" s="18" t="s">
        <v>54</v>
      </c>
      <c r="C118" s="18" t="s">
        <v>302</v>
      </c>
      <c r="D118" s="19" t="s">
        <v>311</v>
      </c>
      <c r="E118" s="18" t="s">
        <v>22</v>
      </c>
      <c r="F118" s="20" t="s">
        <v>222</v>
      </c>
      <c r="G118" s="20" t="s">
        <v>24</v>
      </c>
      <c r="H118" s="20"/>
      <c r="I118" s="20" t="str">
        <f t="shared" si="4"/>
        <v>Oct-25</v>
      </c>
    </row>
    <row r="119" spans="1:9" ht="29" x14ac:dyDescent="0.35">
      <c r="A119" s="17">
        <v>45953</v>
      </c>
      <c r="B119" s="18" t="s">
        <v>313</v>
      </c>
      <c r="C119" s="18" t="s">
        <v>127</v>
      </c>
      <c r="D119" s="19" t="s">
        <v>312</v>
      </c>
      <c r="E119" s="18" t="s">
        <v>22</v>
      </c>
      <c r="F119" s="20" t="s">
        <v>37</v>
      </c>
      <c r="G119" s="20" t="s">
        <v>314</v>
      </c>
      <c r="H119" s="20"/>
      <c r="I119" s="20" t="str">
        <f t="shared" si="4"/>
        <v>Oct-25</v>
      </c>
    </row>
    <row r="120" spans="1:9" x14ac:dyDescent="0.35">
      <c r="A120" s="17">
        <v>45953</v>
      </c>
      <c r="B120" s="18"/>
      <c r="C120" s="18" t="s">
        <v>219</v>
      </c>
      <c r="D120" s="19" t="s">
        <v>315</v>
      </c>
      <c r="E120" s="18"/>
      <c r="F120" s="20"/>
      <c r="G120" s="20" t="s">
        <v>24</v>
      </c>
      <c r="H120" s="20"/>
      <c r="I120" s="20" t="str">
        <f t="shared" si="4"/>
        <v>Oct-25</v>
      </c>
    </row>
    <row r="121" spans="1:9" ht="43.5" x14ac:dyDescent="0.35">
      <c r="A121" s="17">
        <v>45953</v>
      </c>
      <c r="B121" s="18" t="s">
        <v>34</v>
      </c>
      <c r="C121" s="18" t="s">
        <v>224</v>
      </c>
      <c r="D121" s="19" t="s">
        <v>316</v>
      </c>
      <c r="E121" s="18" t="s">
        <v>22</v>
      </c>
      <c r="F121" s="25" t="s">
        <v>119</v>
      </c>
      <c r="G121" s="20" t="s">
        <v>24</v>
      </c>
      <c r="H121" s="20"/>
      <c r="I121" s="20" t="str">
        <f t="shared" si="4"/>
        <v>Oct-25</v>
      </c>
    </row>
    <row r="122" spans="1:9" ht="43.5" x14ac:dyDescent="0.35">
      <c r="A122" s="17">
        <v>45957</v>
      </c>
      <c r="B122" s="18" t="s">
        <v>116</v>
      </c>
      <c r="C122" s="18" t="s">
        <v>40</v>
      </c>
      <c r="D122" s="19" t="s">
        <v>110</v>
      </c>
      <c r="E122" s="18" t="s">
        <v>22</v>
      </c>
      <c r="F122" s="20" t="s">
        <v>66</v>
      </c>
      <c r="G122" s="20" t="s">
        <v>24</v>
      </c>
      <c r="H122" s="20" t="s">
        <v>25</v>
      </c>
      <c r="I122" s="20" t="str">
        <f t="shared" si="4"/>
        <v>Oct-25</v>
      </c>
    </row>
    <row r="123" spans="1:9" x14ac:dyDescent="0.35">
      <c r="A123" s="17">
        <v>45957</v>
      </c>
      <c r="B123" s="18" t="s">
        <v>225</v>
      </c>
      <c r="C123" s="18" t="s">
        <v>84</v>
      </c>
      <c r="D123" s="19" t="s">
        <v>276</v>
      </c>
      <c r="E123" s="18" t="s">
        <v>95</v>
      </c>
      <c r="F123" s="20" t="s">
        <v>66</v>
      </c>
      <c r="G123" s="20" t="s">
        <v>24</v>
      </c>
      <c r="H123" s="20" t="s">
        <v>25</v>
      </c>
      <c r="I123" s="20" t="str">
        <f t="shared" si="4"/>
        <v>Oct-25</v>
      </c>
    </row>
    <row r="124" spans="1:9" ht="29" x14ac:dyDescent="0.35">
      <c r="A124" s="17">
        <v>45959</v>
      </c>
      <c r="B124" s="18" t="s">
        <v>72</v>
      </c>
      <c r="C124" s="18" t="s">
        <v>270</v>
      </c>
      <c r="D124" s="19" t="s">
        <v>295</v>
      </c>
      <c r="E124" s="18" t="s">
        <v>95</v>
      </c>
      <c r="F124" s="20" t="s">
        <v>66</v>
      </c>
      <c r="G124" s="20" t="s">
        <v>108</v>
      </c>
      <c r="H124" s="20"/>
      <c r="I124" s="20" t="str">
        <f t="shared" si="4"/>
        <v>Oct-25</v>
      </c>
    </row>
    <row r="125" spans="1:9" ht="29" x14ac:dyDescent="0.35">
      <c r="A125" s="33">
        <v>45964</v>
      </c>
      <c r="B125" s="34" t="s">
        <v>319</v>
      </c>
      <c r="C125" s="34" t="s">
        <v>318</v>
      </c>
      <c r="D125" s="35" t="s">
        <v>317</v>
      </c>
      <c r="E125" s="34"/>
      <c r="F125" s="20" t="s">
        <v>66</v>
      </c>
      <c r="G125" s="20" t="s">
        <v>108</v>
      </c>
      <c r="H125" s="20"/>
      <c r="I125" s="20"/>
    </row>
    <row r="126" spans="1:9" x14ac:dyDescent="0.35">
      <c r="A126" s="33">
        <v>45971</v>
      </c>
      <c r="B126" s="34" t="s">
        <v>81</v>
      </c>
      <c r="C126" s="34" t="s">
        <v>114</v>
      </c>
      <c r="D126" s="35" t="s">
        <v>115</v>
      </c>
      <c r="E126" s="34" t="s">
        <v>22</v>
      </c>
      <c r="F126" s="20" t="s">
        <v>66</v>
      </c>
      <c r="G126" s="20" t="s">
        <v>24</v>
      </c>
      <c r="H126" s="20" t="s">
        <v>25</v>
      </c>
      <c r="I126" s="20" t="str">
        <f t="shared" si="4"/>
        <v>Nov-25</v>
      </c>
    </row>
    <row r="127" spans="1:9" ht="43.5" x14ac:dyDescent="0.35">
      <c r="A127" s="33">
        <v>45967</v>
      </c>
      <c r="B127" s="34" t="s">
        <v>72</v>
      </c>
      <c r="C127" s="34" t="s">
        <v>224</v>
      </c>
      <c r="D127" s="35" t="s">
        <v>316</v>
      </c>
      <c r="E127" s="34" t="s">
        <v>22</v>
      </c>
      <c r="F127" s="20" t="s">
        <v>66</v>
      </c>
      <c r="G127" s="20"/>
      <c r="H127" s="20"/>
      <c r="I127" s="20" t="str">
        <f t="shared" si="4"/>
        <v>Nov-25</v>
      </c>
    </row>
    <row r="128" spans="1:9" ht="43.5" x14ac:dyDescent="0.35">
      <c r="A128" s="33">
        <v>45981</v>
      </c>
      <c r="B128" s="34" t="s">
        <v>34</v>
      </c>
      <c r="C128" s="34" t="s">
        <v>224</v>
      </c>
      <c r="D128" s="35" t="s">
        <v>316</v>
      </c>
      <c r="E128" s="34" t="s">
        <v>22</v>
      </c>
      <c r="F128" s="20" t="s">
        <v>66</v>
      </c>
      <c r="G128" s="20"/>
      <c r="H128" s="20"/>
      <c r="I128" s="20" t="str">
        <f t="shared" si="4"/>
        <v>Nov-25</v>
      </c>
    </row>
    <row r="129" spans="1:9" x14ac:dyDescent="0.35">
      <c r="A129" s="36"/>
      <c r="B129" s="34"/>
      <c r="C129" s="34"/>
      <c r="D129" s="35"/>
      <c r="E129" s="34"/>
      <c r="F129" s="20"/>
      <c r="G129" s="20"/>
      <c r="H129" s="20"/>
      <c r="I129" s="20"/>
    </row>
    <row r="130" spans="1:9" x14ac:dyDescent="0.35">
      <c r="A130" s="21"/>
      <c r="B130" s="18"/>
      <c r="C130" s="18"/>
      <c r="D130" s="19"/>
      <c r="E130" s="18"/>
      <c r="F130" s="20"/>
      <c r="G130" s="20"/>
      <c r="H130" s="20"/>
      <c r="I130" s="20"/>
    </row>
    <row r="131" spans="1:9" x14ac:dyDescent="0.35">
      <c r="A131" s="21"/>
      <c r="B131" s="18"/>
      <c r="C131" s="18"/>
      <c r="D131" s="19"/>
      <c r="E131" s="18"/>
      <c r="F131" s="20"/>
      <c r="G131" s="20"/>
      <c r="H131" s="20"/>
      <c r="I131" s="20"/>
    </row>
    <row r="132" spans="1:9" x14ac:dyDescent="0.35">
      <c r="A132" s="21"/>
      <c r="B132" s="18"/>
      <c r="C132" s="18"/>
      <c r="D132" s="19"/>
      <c r="E132" s="18"/>
      <c r="F132" s="20"/>
      <c r="G132" s="20"/>
      <c r="H132" s="20"/>
      <c r="I132" s="20"/>
    </row>
    <row r="133" spans="1:9" x14ac:dyDescent="0.35">
      <c r="A133" s="21"/>
      <c r="B133" s="18"/>
      <c r="C133" s="18"/>
      <c r="D133" s="19"/>
      <c r="E133" s="18"/>
      <c r="F133" s="20"/>
      <c r="G133" s="20"/>
      <c r="H133" s="20"/>
      <c r="I133" s="20"/>
    </row>
    <row r="134" spans="1:9" x14ac:dyDescent="0.35">
      <c r="A134" s="21"/>
      <c r="B134" s="18"/>
      <c r="C134" s="18"/>
      <c r="D134" s="19"/>
      <c r="E134" s="18"/>
      <c r="F134" s="20"/>
      <c r="G134" s="20"/>
      <c r="H134" s="20"/>
      <c r="I134" s="20"/>
    </row>
    <row r="135" spans="1:9" x14ac:dyDescent="0.35">
      <c r="A135" s="21"/>
      <c r="B135" s="18"/>
      <c r="C135" s="18"/>
      <c r="D135" s="19"/>
      <c r="E135" s="18"/>
      <c r="F135" s="20"/>
      <c r="G135" s="20"/>
      <c r="H135" s="20"/>
      <c r="I135" s="20"/>
    </row>
    <row r="136" spans="1:9" x14ac:dyDescent="0.35">
      <c r="A136" s="21"/>
      <c r="B136" s="18"/>
      <c r="C136" s="18"/>
      <c r="D136" s="19"/>
      <c r="E136" s="18"/>
      <c r="F136" s="20"/>
      <c r="G136" s="20"/>
      <c r="H136" s="20"/>
      <c r="I136" s="20"/>
    </row>
    <row r="137" spans="1:9" x14ac:dyDescent="0.35">
      <c r="A137" s="21"/>
      <c r="B137" s="18"/>
      <c r="C137" s="18"/>
      <c r="D137" s="19"/>
      <c r="E137" s="18"/>
      <c r="F137" s="20"/>
      <c r="G137" s="20"/>
      <c r="H137" s="20"/>
      <c r="I137" s="20"/>
    </row>
    <row r="138" spans="1:9" x14ac:dyDescent="0.35">
      <c r="A138" s="21"/>
      <c r="B138" s="18"/>
      <c r="C138" s="18"/>
      <c r="D138" s="19"/>
      <c r="E138" s="18"/>
      <c r="F138" s="20"/>
      <c r="G138" s="20"/>
      <c r="H138" s="20"/>
      <c r="I138" s="20"/>
    </row>
    <row r="139" spans="1:9" x14ac:dyDescent="0.35">
      <c r="A139" s="21"/>
      <c r="B139" s="18"/>
      <c r="C139" s="18"/>
      <c r="D139" s="19"/>
      <c r="E139" s="18"/>
      <c r="F139" s="20"/>
      <c r="G139" s="20"/>
      <c r="H139" s="20"/>
      <c r="I139" s="20"/>
    </row>
    <row r="140" spans="1:9" x14ac:dyDescent="0.35">
      <c r="A140" s="21"/>
      <c r="B140" s="18"/>
      <c r="C140" s="18"/>
      <c r="D140" s="19"/>
      <c r="E140" s="18"/>
      <c r="F140" s="20"/>
      <c r="G140" s="20"/>
      <c r="H140" s="20"/>
      <c r="I140" s="20"/>
    </row>
    <row r="141" spans="1:9" x14ac:dyDescent="0.35">
      <c r="A141" s="21"/>
      <c r="B141" s="18"/>
      <c r="C141" s="18"/>
      <c r="D141" s="19"/>
      <c r="E141" s="18"/>
      <c r="F141" s="20"/>
      <c r="G141" s="20"/>
      <c r="H141" s="20"/>
      <c r="I141" s="20"/>
    </row>
    <row r="142" spans="1:9" x14ac:dyDescent="0.35">
      <c r="A142" s="21"/>
      <c r="B142" s="18"/>
      <c r="C142" s="18"/>
      <c r="D142" s="19"/>
      <c r="E142" s="18"/>
      <c r="F142" s="20"/>
      <c r="G142" s="20"/>
      <c r="H142" s="20"/>
      <c r="I142" s="20"/>
    </row>
    <row r="143" spans="1:9" x14ac:dyDescent="0.35">
      <c r="A143" s="21"/>
      <c r="B143" s="18"/>
      <c r="C143" s="18"/>
      <c r="D143" s="19"/>
      <c r="E143" s="18"/>
      <c r="F143" s="20"/>
      <c r="G143" s="20"/>
      <c r="H143" s="20"/>
      <c r="I143" s="20"/>
    </row>
    <row r="144" spans="1:9" x14ac:dyDescent="0.35">
      <c r="A144" s="21"/>
      <c r="B144" s="18"/>
      <c r="C144" s="18"/>
      <c r="D144" s="19"/>
      <c r="E144" s="18"/>
      <c r="F144" s="20"/>
      <c r="G144" s="20"/>
      <c r="H144" s="20"/>
      <c r="I144" s="20"/>
    </row>
    <row r="145" spans="1:9" x14ac:dyDescent="0.35">
      <c r="A145" s="21"/>
      <c r="B145" s="18"/>
      <c r="C145" s="18"/>
      <c r="D145" s="19"/>
      <c r="E145" s="18"/>
      <c r="F145" s="20"/>
      <c r="G145" s="20"/>
      <c r="H145" s="20"/>
      <c r="I145" s="20"/>
    </row>
    <row r="146" spans="1:9" x14ac:dyDescent="0.35">
      <c r="A146" s="21"/>
      <c r="B146" s="18"/>
      <c r="C146" s="18"/>
      <c r="D146" s="19"/>
      <c r="E146" s="18"/>
      <c r="F146" s="20"/>
      <c r="G146" s="20"/>
      <c r="H146" s="20"/>
      <c r="I146" s="20"/>
    </row>
    <row r="147" spans="1:9" x14ac:dyDescent="0.35">
      <c r="A147" s="21"/>
      <c r="B147" s="18"/>
      <c r="C147" s="18"/>
      <c r="D147" s="19"/>
      <c r="E147" s="18"/>
      <c r="F147" s="20"/>
      <c r="G147" s="20"/>
      <c r="H147" s="20"/>
      <c r="I147" s="20"/>
    </row>
    <row r="148" spans="1:9" x14ac:dyDescent="0.35">
      <c r="A148" s="21"/>
      <c r="B148" s="18"/>
      <c r="C148" s="18"/>
      <c r="D148" s="19"/>
      <c r="E148" s="18"/>
      <c r="F148" s="20"/>
      <c r="G148" s="20"/>
      <c r="H148" s="20"/>
      <c r="I148" s="20"/>
    </row>
    <row r="149" spans="1:9" x14ac:dyDescent="0.35">
      <c r="A149" s="21"/>
      <c r="B149" s="18"/>
      <c r="C149" s="18"/>
      <c r="D149" s="19"/>
      <c r="E149" s="18"/>
      <c r="F149" s="20"/>
      <c r="G149" s="20"/>
      <c r="H149" s="20"/>
      <c r="I149" s="20"/>
    </row>
    <row r="150" spans="1:9" x14ac:dyDescent="0.35">
      <c r="A150" s="21"/>
      <c r="B150" s="18"/>
      <c r="C150" s="18"/>
      <c r="D150" s="19"/>
      <c r="E150" s="18"/>
      <c r="F150" s="20"/>
      <c r="G150" s="20"/>
      <c r="H150" s="20"/>
      <c r="I150" s="20"/>
    </row>
    <row r="151" spans="1:9" x14ac:dyDescent="0.35">
      <c r="A151" s="21"/>
      <c r="B151" s="18"/>
      <c r="C151" s="18"/>
      <c r="D151" s="19"/>
      <c r="E151" s="18"/>
      <c r="F151" s="20"/>
      <c r="G151" s="20"/>
      <c r="H151" s="20"/>
      <c r="I151" s="20"/>
    </row>
    <row r="152" spans="1:9" x14ac:dyDescent="0.35">
      <c r="A152" s="21"/>
      <c r="B152" s="18"/>
      <c r="C152" s="18"/>
      <c r="D152" s="19"/>
      <c r="E152" s="18"/>
      <c r="F152" s="20"/>
      <c r="G152" s="20"/>
      <c r="H152" s="20"/>
      <c r="I152" s="20"/>
    </row>
    <row r="153" spans="1:9" x14ac:dyDescent="0.35">
      <c r="A153" s="21"/>
      <c r="B153" s="18"/>
      <c r="C153" s="18"/>
      <c r="D153" s="19"/>
      <c r="E153" s="18"/>
      <c r="F153" s="20"/>
      <c r="G153" s="20"/>
      <c r="H153" s="20"/>
      <c r="I153" s="20"/>
    </row>
    <row r="154" spans="1:9" x14ac:dyDescent="0.35">
      <c r="A154" s="21"/>
      <c r="B154" s="18"/>
      <c r="C154" s="18"/>
      <c r="D154" s="19"/>
      <c r="E154" s="18"/>
      <c r="F154" s="20"/>
      <c r="G154" s="20"/>
      <c r="H154" s="20"/>
      <c r="I154" s="20"/>
    </row>
    <row r="155" spans="1:9" x14ac:dyDescent="0.35">
      <c r="A155" s="21"/>
      <c r="B155" s="18"/>
      <c r="C155" s="18"/>
      <c r="D155" s="19"/>
      <c r="E155" s="18"/>
      <c r="F155" s="20"/>
      <c r="G155" s="20"/>
      <c r="H155" s="20"/>
      <c r="I155" s="20"/>
    </row>
    <row r="156" spans="1:9" x14ac:dyDescent="0.35">
      <c r="A156" s="21"/>
      <c r="B156" s="18"/>
      <c r="C156" s="18"/>
      <c r="D156" s="19"/>
      <c r="E156" s="18"/>
      <c r="F156" s="20"/>
      <c r="G156" s="20"/>
      <c r="H156" s="20"/>
      <c r="I156" s="20"/>
    </row>
    <row r="157" spans="1:9" x14ac:dyDescent="0.35">
      <c r="A157" s="21"/>
      <c r="B157" s="18"/>
      <c r="C157" s="18"/>
      <c r="D157" s="19"/>
      <c r="E157" s="18"/>
      <c r="F157" s="20"/>
      <c r="G157" s="20"/>
      <c r="H157" s="20"/>
      <c r="I157" s="20"/>
    </row>
  </sheetData>
  <autoFilter ref="A1:J124" xr:uid="{69ACE189-8219-45B0-A2A1-BD8D230F6664}">
    <filterColumn colId="8">
      <filters>
        <filter val="Nov-25"/>
        <filter val="Oct-25"/>
      </filters>
    </filterColumn>
    <sortState xmlns:xlrd2="http://schemas.microsoft.com/office/spreadsheetml/2017/richdata2" ref="A95:J125">
      <sortCondition ref="A1:A124"/>
    </sortState>
  </autoFilter>
  <conditionalFormatting sqref="F1:F49 F51:F1048576">
    <cfRule type="containsText" dxfId="5" priority="2" operator="containsText" text="Pending">
      <formula>NOT(ISERROR(SEARCH("Pending",F1)))</formula>
    </cfRule>
  </conditionalFormatting>
  <conditionalFormatting sqref="G1:G1048576">
    <cfRule type="containsText" dxfId="4" priority="1" operator="containsText" text="no">
      <formula>NOT(ISERROR(SEARCH("no",G1)))</formula>
    </cfRule>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984F31-8040-4478-9F79-37FB3FAE58D8}">
  <dimension ref="A1:F3"/>
  <sheetViews>
    <sheetView workbookViewId="0">
      <selection activeCell="A4" sqref="A4"/>
    </sheetView>
  </sheetViews>
  <sheetFormatPr defaultRowHeight="14.5" x14ac:dyDescent="0.35"/>
  <cols>
    <col min="2" max="2" width="16" bestFit="1" customWidth="1"/>
    <col min="3" max="3" width="20.453125" customWidth="1"/>
    <col min="4" max="4" width="40.6328125" bestFit="1" customWidth="1"/>
    <col min="5" max="5" width="16.6328125" bestFit="1" customWidth="1"/>
    <col min="6" max="6" width="13.6328125" bestFit="1" customWidth="1"/>
  </cols>
  <sheetData>
    <row r="1" spans="1:6" x14ac:dyDescent="0.35">
      <c r="A1" s="14" t="s">
        <v>11</v>
      </c>
      <c r="B1" s="13" t="s">
        <v>12</v>
      </c>
      <c r="C1" s="15" t="s">
        <v>13</v>
      </c>
      <c r="D1" s="14" t="s">
        <v>14</v>
      </c>
      <c r="E1" s="16" t="s">
        <v>15</v>
      </c>
      <c r="F1" s="16" t="s">
        <v>16</v>
      </c>
    </row>
    <row r="2" spans="1:6" ht="87" x14ac:dyDescent="0.35">
      <c r="A2" t="s">
        <v>81</v>
      </c>
      <c r="B2" t="s">
        <v>197</v>
      </c>
      <c r="C2" s="8" t="s">
        <v>196</v>
      </c>
      <c r="D2" t="s">
        <v>199</v>
      </c>
      <c r="E2" t="s">
        <v>198</v>
      </c>
      <c r="F2" t="s">
        <v>108</v>
      </c>
    </row>
    <row r="3" spans="1:6" x14ac:dyDescent="0.35">
      <c r="A3" t="s">
        <v>213</v>
      </c>
      <c r="B3" t="s">
        <v>212</v>
      </c>
    </row>
  </sheetData>
  <conditionalFormatting sqref="E1">
    <cfRule type="containsText" dxfId="3" priority="2" operator="containsText" text="Pending">
      <formula>NOT(ISERROR(SEARCH("Pending",E1)))</formula>
    </cfRule>
  </conditionalFormatting>
  <conditionalFormatting sqref="F1">
    <cfRule type="containsText" dxfId="2" priority="1" operator="containsText" text="no">
      <formula>NOT(ISERROR(SEARCH("no",F1)))</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5BA77-2DE8-4CCA-A5E9-BF7A4BC3E5C5}">
  <dimension ref="A1:F9"/>
  <sheetViews>
    <sheetView workbookViewId="0">
      <selection activeCell="B2" sqref="B2:B9"/>
    </sheetView>
  </sheetViews>
  <sheetFormatPr defaultRowHeight="14.5" x14ac:dyDescent="0.35"/>
  <cols>
    <col min="2" max="2" width="19.54296875" customWidth="1"/>
    <col min="4" max="4" width="9" customWidth="1"/>
    <col min="5" max="5" width="16.6328125" bestFit="1" customWidth="1"/>
    <col min="6" max="6" width="22.6328125" customWidth="1"/>
  </cols>
  <sheetData>
    <row r="1" spans="1:6" ht="43.5" x14ac:dyDescent="0.35">
      <c r="A1" s="14" t="s">
        <v>11</v>
      </c>
      <c r="B1" s="13" t="s">
        <v>12</v>
      </c>
      <c r="C1" s="15" t="s">
        <v>13</v>
      </c>
      <c r="D1" s="14" t="s">
        <v>14</v>
      </c>
      <c r="E1" s="16" t="s">
        <v>15</v>
      </c>
      <c r="F1" s="16" t="s">
        <v>16</v>
      </c>
    </row>
    <row r="2" spans="1:6" x14ac:dyDescent="0.35">
      <c r="B2" t="s">
        <v>175</v>
      </c>
      <c r="E2" t="s">
        <v>178</v>
      </c>
    </row>
    <row r="3" spans="1:6" x14ac:dyDescent="0.35">
      <c r="B3" t="s">
        <v>176</v>
      </c>
      <c r="E3" t="s">
        <v>179</v>
      </c>
    </row>
    <row r="4" spans="1:6" x14ac:dyDescent="0.35">
      <c r="B4" t="s">
        <v>177</v>
      </c>
      <c r="E4" t="s">
        <v>180</v>
      </c>
    </row>
    <row r="5" spans="1:6" x14ac:dyDescent="0.35">
      <c r="B5" t="s">
        <v>50</v>
      </c>
      <c r="E5" t="s">
        <v>181</v>
      </c>
    </row>
    <row r="6" spans="1:6" x14ac:dyDescent="0.35">
      <c r="B6" t="s">
        <v>182</v>
      </c>
      <c r="E6" t="s">
        <v>185</v>
      </c>
    </row>
    <row r="7" spans="1:6" x14ac:dyDescent="0.35">
      <c r="B7" t="s">
        <v>133</v>
      </c>
      <c r="E7" t="s">
        <v>186</v>
      </c>
    </row>
    <row r="8" spans="1:6" x14ac:dyDescent="0.35">
      <c r="B8" t="s">
        <v>183</v>
      </c>
      <c r="E8" t="s">
        <v>187</v>
      </c>
    </row>
    <row r="9" spans="1:6" x14ac:dyDescent="0.35">
      <c r="B9" t="s">
        <v>184</v>
      </c>
      <c r="E9" t="s">
        <v>188</v>
      </c>
    </row>
  </sheetData>
  <conditionalFormatting sqref="E1">
    <cfRule type="containsText" dxfId="1" priority="2" operator="containsText" text="Pending">
      <formula>NOT(ISERROR(SEARCH("Pending",E1)))</formula>
    </cfRule>
  </conditionalFormatting>
  <conditionalFormatting sqref="F1">
    <cfRule type="containsText" dxfId="0" priority="1" operator="containsText" text="no">
      <formula>NOT(ISERROR(SEARCH("no",F1)))</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Reference</vt:lpstr>
      <vt:lpstr>Schedule</vt:lpstr>
      <vt:lpstr>09112025</vt:lpstr>
      <vt:lpstr>982025</vt:lpstr>
      <vt:lpstr>Reference!_Hlk200096885</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Zachary Bostick</dc:creator>
  <cp:keywords/>
  <dc:description/>
  <cp:lastModifiedBy>Elys Milena Cadena Mendoza</cp:lastModifiedBy>
  <cp:revision/>
  <dcterms:created xsi:type="dcterms:W3CDTF">2025-07-02T15:40:56Z</dcterms:created>
  <dcterms:modified xsi:type="dcterms:W3CDTF">2026-01-05T19:08:24Z</dcterms:modified>
  <cp:category/>
  <cp:contentStatus/>
</cp:coreProperties>
</file>